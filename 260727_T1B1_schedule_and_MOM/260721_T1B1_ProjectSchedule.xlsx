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agunGupta\OneDrive - Wood Couture\Desktop\"/>
    </mc:Choice>
  </mc:AlternateContent>
  <xr:revisionPtr revIDLastSave="0" documentId="13_ncr:1_{3D0E0C57-53BA-4A56-8F8F-848D4040DB6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9th July" sheetId="1" r:id="rId1"/>
    <sheet name="21st Jul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2" l="1"/>
  <c r="AE38" i="2" s="1"/>
  <c r="D37" i="2"/>
  <c r="X37" i="2" s="1"/>
  <c r="D36" i="2"/>
  <c r="Y36" i="2" s="1"/>
  <c r="D34" i="2"/>
  <c r="AE34" i="2" s="1"/>
  <c r="D33" i="2"/>
  <c r="AA33" i="2" s="1"/>
  <c r="D32" i="2"/>
  <c r="AE32" i="2" s="1"/>
  <c r="D30" i="2"/>
  <c r="AC30" i="2" s="1"/>
  <c r="D29" i="2"/>
  <c r="AD29" i="2" s="1"/>
  <c r="D27" i="2"/>
  <c r="AE27" i="2" s="1"/>
  <c r="D26" i="2"/>
  <c r="AE26" i="2" s="1"/>
  <c r="D25" i="2"/>
  <c r="AE25" i="2" s="1"/>
  <c r="D24" i="2"/>
  <c r="AE24" i="2" s="1"/>
  <c r="D23" i="2"/>
  <c r="AE23" i="2" s="1"/>
  <c r="D22" i="2"/>
  <c r="AE22" i="2" s="1"/>
  <c r="W21" i="2"/>
  <c r="O21" i="2"/>
  <c r="D21" i="2"/>
  <c r="AB21" i="2" s="1"/>
  <c r="D19" i="2"/>
  <c r="AA19" i="2" s="1"/>
  <c r="D18" i="2"/>
  <c r="M18" i="2" s="1"/>
  <c r="D17" i="2"/>
  <c r="AE17" i="2" s="1"/>
  <c r="D16" i="2"/>
  <c r="AA16" i="2" s="1"/>
  <c r="D15" i="2"/>
  <c r="AA15" i="2" s="1"/>
  <c r="D14" i="2"/>
  <c r="AE14" i="2" s="1"/>
  <c r="D12" i="2"/>
  <c r="AE12" i="2" s="1"/>
  <c r="D11" i="2"/>
  <c r="AB11" i="2" s="1"/>
  <c r="D33" i="1"/>
  <c r="AD33" i="1" s="1"/>
  <c r="D32" i="1"/>
  <c r="S32" i="1" s="1"/>
  <c r="D31" i="1"/>
  <c r="Y31" i="1" s="1"/>
  <c r="D29" i="1"/>
  <c r="AA29" i="1" s="1"/>
  <c r="D28" i="1"/>
  <c r="AE28" i="1" s="1"/>
  <c r="D27" i="1"/>
  <c r="AD27" i="1" s="1"/>
  <c r="D25" i="1"/>
  <c r="AE25" i="1" s="1"/>
  <c r="D24" i="1"/>
  <c r="AE24" i="1" s="1"/>
  <c r="D22" i="1"/>
  <c r="X22" i="1" s="1"/>
  <c r="D21" i="1"/>
  <c r="AD21" i="1" s="1"/>
  <c r="D20" i="1"/>
  <c r="AE20" i="1" s="1"/>
  <c r="D19" i="1"/>
  <c r="AA19" i="1" s="1"/>
  <c r="D18" i="1"/>
  <c r="U18" i="1" s="1"/>
  <c r="D17" i="1"/>
  <c r="AB17" i="1" s="1"/>
  <c r="D16" i="1"/>
  <c r="AA16" i="1" s="1"/>
  <c r="D14" i="1"/>
  <c r="AC14" i="1" s="1"/>
  <c r="D13" i="1"/>
  <c r="AE13" i="1" s="1"/>
  <c r="D12" i="1"/>
  <c r="V12" i="1" s="1"/>
  <c r="D11" i="1"/>
  <c r="AE11" i="1" s="1"/>
  <c r="D10" i="1"/>
  <c r="AA10" i="1" s="1"/>
  <c r="D8" i="1"/>
  <c r="AB8" i="1" s="1"/>
  <c r="D7" i="1"/>
  <c r="AA7" i="1" s="1"/>
  <c r="L21" i="2" l="1"/>
  <c r="N21" i="2"/>
  <c r="AB23" i="2"/>
  <c r="J15" i="2"/>
  <c r="R23" i="2"/>
  <c r="M21" i="2"/>
  <c r="T32" i="2"/>
  <c r="P18" i="2"/>
  <c r="V18" i="2"/>
  <c r="AA18" i="2"/>
  <c r="K15" i="2"/>
  <c r="S22" i="2"/>
  <c r="U27" i="2"/>
  <c r="AE15" i="2"/>
  <c r="P29" i="2"/>
  <c r="T22" i="2"/>
  <c r="N12" i="2"/>
  <c r="H22" i="2"/>
  <c r="AB22" i="2"/>
  <c r="H24" i="2"/>
  <c r="T29" i="2"/>
  <c r="Q34" i="2"/>
  <c r="N15" i="2"/>
  <c r="V12" i="2"/>
  <c r="R15" i="2"/>
  <c r="J17" i="2"/>
  <c r="X12" i="2"/>
  <c r="S15" i="2"/>
  <c r="O17" i="2"/>
  <c r="I22" i="2"/>
  <c r="AC22" i="2"/>
  <c r="X24" i="2"/>
  <c r="X29" i="2"/>
  <c r="AD34" i="2"/>
  <c r="U22" i="2"/>
  <c r="X15" i="2"/>
  <c r="T17" i="2"/>
  <c r="J22" i="2"/>
  <c r="AD22" i="2"/>
  <c r="AB29" i="2"/>
  <c r="AB15" i="2"/>
  <c r="W17" i="2"/>
  <c r="K22" i="2"/>
  <c r="I15" i="2"/>
  <c r="AD15" i="2"/>
  <c r="R22" i="2"/>
  <c r="M23" i="2"/>
  <c r="AD26" i="2"/>
  <c r="P23" i="2"/>
  <c r="Y24" i="2"/>
  <c r="I26" i="2"/>
  <c r="AB32" i="2"/>
  <c r="J26" i="2"/>
  <c r="AC32" i="2"/>
  <c r="N38" i="2"/>
  <c r="T15" i="2"/>
  <c r="Q16" i="2"/>
  <c r="X17" i="2"/>
  <c r="O19" i="2"/>
  <c r="Y21" i="2"/>
  <c r="L22" i="2"/>
  <c r="V22" i="2"/>
  <c r="H23" i="2"/>
  <c r="U23" i="2"/>
  <c r="J24" i="2"/>
  <c r="O25" i="2"/>
  <c r="P26" i="2"/>
  <c r="I32" i="2"/>
  <c r="Z33" i="2"/>
  <c r="P38" i="2"/>
  <c r="T23" i="2"/>
  <c r="I24" i="2"/>
  <c r="I25" i="2"/>
  <c r="N26" i="2"/>
  <c r="X27" i="2"/>
  <c r="H32" i="2"/>
  <c r="R11" i="2"/>
  <c r="AD11" i="2"/>
  <c r="H15" i="2"/>
  <c r="V15" i="2"/>
  <c r="AC16" i="2"/>
  <c r="AC17" i="2"/>
  <c r="AB19" i="2"/>
  <c r="AA21" i="2"/>
  <c r="M22" i="2"/>
  <c r="X22" i="2"/>
  <c r="J23" i="2"/>
  <c r="X23" i="2"/>
  <c r="K24" i="2"/>
  <c r="P25" i="2"/>
  <c r="R26" i="2"/>
  <c r="J32" i="2"/>
  <c r="S38" i="2"/>
  <c r="AD16" i="2"/>
  <c r="AC21" i="2"/>
  <c r="N22" i="2"/>
  <c r="Z22" i="2"/>
  <c r="K23" i="2"/>
  <c r="Y23" i="2"/>
  <c r="S24" i="2"/>
  <c r="W25" i="2"/>
  <c r="Y26" i="2"/>
  <c r="R32" i="2"/>
  <c r="U38" i="2"/>
  <c r="O16" i="2"/>
  <c r="M12" i="2"/>
  <c r="H18" i="2"/>
  <c r="Q22" i="2"/>
  <c r="AA22" i="2"/>
  <c r="L23" i="2"/>
  <c r="Z23" i="2"/>
  <c r="T24" i="2"/>
  <c r="AA25" i="2"/>
  <c r="Z26" i="2"/>
  <c r="S32" i="2"/>
  <c r="AD38" i="2"/>
  <c r="Q24" i="1"/>
  <c r="M8" i="1"/>
  <c r="K8" i="1"/>
  <c r="N8" i="1"/>
  <c r="P8" i="1"/>
  <c r="S8" i="1"/>
  <c r="Y8" i="1"/>
  <c r="T24" i="1"/>
  <c r="Z8" i="1"/>
  <c r="P17" i="1"/>
  <c r="Y12" i="1"/>
  <c r="Z25" i="1"/>
  <c r="AE33" i="1"/>
  <c r="AD8" i="1"/>
  <c r="M24" i="1"/>
  <c r="P12" i="2"/>
  <c r="L14" i="2"/>
  <c r="AE16" i="2"/>
  <c r="Y27" i="2"/>
  <c r="K11" i="2"/>
  <c r="V11" i="2"/>
  <c r="H12" i="2"/>
  <c r="Q12" i="2"/>
  <c r="Z12" i="2"/>
  <c r="U14" i="2"/>
  <c r="L15" i="2"/>
  <c r="W15" i="2"/>
  <c r="H16" i="2"/>
  <c r="U16" i="2"/>
  <c r="J19" i="2"/>
  <c r="T19" i="2"/>
  <c r="AE19" i="2"/>
  <c r="R21" i="2"/>
  <c r="AD21" i="2"/>
  <c r="Q23" i="2"/>
  <c r="AA23" i="2"/>
  <c r="L24" i="2"/>
  <c r="Z24" i="2"/>
  <c r="Z25" i="2"/>
  <c r="Q26" i="2"/>
  <c r="H27" i="2"/>
  <c r="AC27" i="2"/>
  <c r="K32" i="2"/>
  <c r="U32" i="2"/>
  <c r="I33" i="2"/>
  <c r="I34" i="2"/>
  <c r="V34" i="2"/>
  <c r="V38" i="2"/>
  <c r="AE11" i="2"/>
  <c r="I14" i="2"/>
  <c r="R34" i="2"/>
  <c r="I11" i="2"/>
  <c r="Y12" i="2"/>
  <c r="AD19" i="2"/>
  <c r="L11" i="2"/>
  <c r="R12" i="2"/>
  <c r="AA14" i="2"/>
  <c r="J16" i="2"/>
  <c r="K19" i="2"/>
  <c r="U19" i="2"/>
  <c r="T21" i="2"/>
  <c r="AE21" i="2"/>
  <c r="P24" i="2"/>
  <c r="AA24" i="2"/>
  <c r="I27" i="2"/>
  <c r="K30" i="2"/>
  <c r="L32" i="2"/>
  <c r="X32" i="2"/>
  <c r="J33" i="2"/>
  <c r="J34" i="2"/>
  <c r="X34" i="2"/>
  <c r="H38" i="2"/>
  <c r="X38" i="2"/>
  <c r="T11" i="2"/>
  <c r="R19" i="2"/>
  <c r="H34" i="2"/>
  <c r="I12" i="2"/>
  <c r="AA12" i="2"/>
  <c r="V16" i="2"/>
  <c r="M11" i="2"/>
  <c r="Y11" i="2"/>
  <c r="J12" i="2"/>
  <c r="S12" i="2"/>
  <c r="AB12" i="2"/>
  <c r="O15" i="2"/>
  <c r="Z15" i="2"/>
  <c r="K16" i="2"/>
  <c r="W16" i="2"/>
  <c r="N17" i="2"/>
  <c r="L19" i="2"/>
  <c r="V19" i="2"/>
  <c r="I21" i="2"/>
  <c r="U21" i="2"/>
  <c r="P22" i="2"/>
  <c r="Y22" i="2"/>
  <c r="I23" i="2"/>
  <c r="S23" i="2"/>
  <c r="AC23" i="2"/>
  <c r="Q24" i="2"/>
  <c r="AB24" i="2"/>
  <c r="V26" i="2"/>
  <c r="M27" i="2"/>
  <c r="H29" i="2"/>
  <c r="S30" i="2"/>
  <c r="M32" i="2"/>
  <c r="Y32" i="2"/>
  <c r="Q33" i="2"/>
  <c r="K34" i="2"/>
  <c r="Y34" i="2"/>
  <c r="K38" i="2"/>
  <c r="AA38" i="2"/>
  <c r="AC19" i="2"/>
  <c r="U11" i="2"/>
  <c r="S16" i="2"/>
  <c r="S19" i="2"/>
  <c r="S34" i="2"/>
  <c r="W11" i="2"/>
  <c r="N11" i="2"/>
  <c r="AA11" i="2"/>
  <c r="K12" i="2"/>
  <c r="T12" i="2"/>
  <c r="AC12" i="2"/>
  <c r="Q15" i="2"/>
  <c r="M16" i="2"/>
  <c r="X16" i="2"/>
  <c r="M19" i="2"/>
  <c r="X19" i="2"/>
  <c r="K21" i="2"/>
  <c r="V21" i="2"/>
  <c r="R24" i="2"/>
  <c r="H26" i="2"/>
  <c r="X26" i="2"/>
  <c r="P27" i="2"/>
  <c r="L29" i="2"/>
  <c r="AA30" i="2"/>
  <c r="P32" i="2"/>
  <c r="Z32" i="2"/>
  <c r="R33" i="2"/>
  <c r="N34" i="2"/>
  <c r="Z34" i="2"/>
  <c r="M38" i="2"/>
  <c r="AC38" i="2"/>
  <c r="H19" i="2"/>
  <c r="O11" i="2"/>
  <c r="AC11" i="2"/>
  <c r="L12" i="2"/>
  <c r="U12" i="2"/>
  <c r="AD12" i="2"/>
  <c r="N16" i="2"/>
  <c r="Z16" i="2"/>
  <c r="N19" i="2"/>
  <c r="Q27" i="2"/>
  <c r="Q32" i="2"/>
  <c r="AA32" i="2"/>
  <c r="Y33" i="2"/>
  <c r="P34" i="2"/>
  <c r="AA34" i="2"/>
  <c r="V13" i="1"/>
  <c r="K16" i="1"/>
  <c r="I17" i="1"/>
  <c r="V17" i="1"/>
  <c r="L18" i="1"/>
  <c r="K19" i="1"/>
  <c r="I22" i="1"/>
  <c r="K24" i="1"/>
  <c r="AC24" i="1"/>
  <c r="Y27" i="1"/>
  <c r="Z18" i="1"/>
  <c r="H29" i="1"/>
  <c r="AD12" i="1"/>
  <c r="U13" i="1"/>
  <c r="J16" i="1"/>
  <c r="H17" i="1"/>
  <c r="U17" i="1"/>
  <c r="J18" i="1"/>
  <c r="H19" i="1"/>
  <c r="U8" i="1"/>
  <c r="K10" i="1"/>
  <c r="N12" i="1"/>
  <c r="I8" i="1"/>
  <c r="V8" i="1"/>
  <c r="S10" i="1"/>
  <c r="O12" i="1"/>
  <c r="I13" i="1"/>
  <c r="X13" i="1"/>
  <c r="L16" i="1"/>
  <c r="J17" i="1"/>
  <c r="X17" i="1"/>
  <c r="M18" i="1"/>
  <c r="L19" i="1"/>
  <c r="Q22" i="1"/>
  <c r="J8" i="1"/>
  <c r="X8" i="1"/>
  <c r="V10" i="1"/>
  <c r="Q12" i="1"/>
  <c r="K13" i="1"/>
  <c r="Y13" i="1"/>
  <c r="W16" i="1"/>
  <c r="K17" i="1"/>
  <c r="Y17" i="1"/>
  <c r="W18" i="1"/>
  <c r="S19" i="1"/>
  <c r="S22" i="1"/>
  <c r="N24" i="1"/>
  <c r="I25" i="1"/>
  <c r="I28" i="1"/>
  <c r="U29" i="1"/>
  <c r="Z12" i="1"/>
  <c r="N13" i="1"/>
  <c r="AE16" i="1"/>
  <c r="L12" i="1"/>
  <c r="AB12" i="1"/>
  <c r="T13" i="1"/>
  <c r="I16" i="1"/>
  <c r="S17" i="1"/>
  <c r="I18" i="1"/>
  <c r="M12" i="1"/>
  <c r="AD10" i="1"/>
  <c r="W12" i="1"/>
  <c r="L13" i="1"/>
  <c r="AD13" i="1"/>
  <c r="Y16" i="1"/>
  <c r="M17" i="1"/>
  <c r="Z17" i="1"/>
  <c r="X18" i="1"/>
  <c r="T19" i="1"/>
  <c r="U22" i="1"/>
  <c r="J28" i="1"/>
  <c r="M13" i="1"/>
  <c r="AD16" i="1"/>
  <c r="N17" i="1"/>
  <c r="AD17" i="1"/>
  <c r="Y18" i="1"/>
  <c r="AD19" i="1"/>
  <c r="AC22" i="1"/>
  <c r="L28" i="1"/>
  <c r="AD22" i="1"/>
  <c r="V24" i="1"/>
  <c r="L27" i="1"/>
  <c r="T28" i="1"/>
  <c r="X24" i="1"/>
  <c r="N27" i="1"/>
  <c r="V28" i="1"/>
  <c r="H33" i="1"/>
  <c r="H24" i="1"/>
  <c r="Z24" i="1"/>
  <c r="X27" i="1"/>
  <c r="Z28" i="1"/>
  <c r="T33" i="1"/>
  <c r="L14" i="1"/>
  <c r="M14" i="1"/>
  <c r="I21" i="1"/>
  <c r="U21" i="1"/>
  <c r="T22" i="1"/>
  <c r="P24" i="1"/>
  <c r="Y24" i="1"/>
  <c r="J25" i="1"/>
  <c r="AA25" i="1"/>
  <c r="P27" i="1"/>
  <c r="Z27" i="1"/>
  <c r="K28" i="1"/>
  <c r="X28" i="1"/>
  <c r="J29" i="1"/>
  <c r="V29" i="1"/>
  <c r="M31" i="1"/>
  <c r="AE31" i="1"/>
  <c r="J33" i="1"/>
  <c r="U33" i="1"/>
  <c r="J7" i="1"/>
  <c r="AD7" i="1"/>
  <c r="K25" i="1"/>
  <c r="Q27" i="1"/>
  <c r="AA27" i="1"/>
  <c r="K29" i="1"/>
  <c r="W29" i="1"/>
  <c r="N31" i="1"/>
  <c r="K33" i="1"/>
  <c r="V33" i="1"/>
  <c r="AE21" i="1"/>
  <c r="T12" i="1"/>
  <c r="AE12" i="1"/>
  <c r="P13" i="1"/>
  <c r="AA13" i="1"/>
  <c r="W14" i="1"/>
  <c r="N16" i="1"/>
  <c r="Q17" i="1"/>
  <c r="AA17" i="1"/>
  <c r="O18" i="1"/>
  <c r="AE18" i="1"/>
  <c r="V19" i="1"/>
  <c r="L21" i="1"/>
  <c r="W21" i="1"/>
  <c r="K22" i="1"/>
  <c r="V22" i="1"/>
  <c r="I24" i="1"/>
  <c r="R24" i="1"/>
  <c r="AA24" i="1"/>
  <c r="L25" i="1"/>
  <c r="H27" i="1"/>
  <c r="R27" i="1"/>
  <c r="AB27" i="1"/>
  <c r="O28" i="1"/>
  <c r="AA28" i="1"/>
  <c r="M29" i="1"/>
  <c r="X29" i="1"/>
  <c r="O31" i="1"/>
  <c r="H32" i="1"/>
  <c r="L33" i="1"/>
  <c r="X33" i="1"/>
  <c r="V7" i="1"/>
  <c r="W7" i="1"/>
  <c r="AC31" i="1"/>
  <c r="V21" i="1"/>
  <c r="L7" i="1"/>
  <c r="AE7" i="1"/>
  <c r="Q8" i="1"/>
  <c r="AA8" i="1"/>
  <c r="I12" i="1"/>
  <c r="U12" i="1"/>
  <c r="Q13" i="1"/>
  <c r="AB13" i="1"/>
  <c r="X14" i="1"/>
  <c r="S16" i="1"/>
  <c r="R17" i="1"/>
  <c r="AC17" i="1"/>
  <c r="P18" i="1"/>
  <c r="W19" i="1"/>
  <c r="M21" i="1"/>
  <c r="Y21" i="1"/>
  <c r="L22" i="1"/>
  <c r="Y22" i="1"/>
  <c r="J24" i="1"/>
  <c r="S24" i="1"/>
  <c r="AB24" i="1"/>
  <c r="O25" i="1"/>
  <c r="I27" i="1"/>
  <c r="S27" i="1"/>
  <c r="AE27" i="1"/>
  <c r="Q28" i="1"/>
  <c r="AB28" i="1"/>
  <c r="N29" i="1"/>
  <c r="Z29" i="1"/>
  <c r="P31" i="1"/>
  <c r="I32" i="1"/>
  <c r="M33" i="1"/>
  <c r="AA33" i="1"/>
  <c r="I7" i="1"/>
  <c r="P14" i="1"/>
  <c r="J21" i="1"/>
  <c r="N7" i="1"/>
  <c r="S7" i="1"/>
  <c r="H8" i="1"/>
  <c r="R8" i="1"/>
  <c r="AC8" i="1"/>
  <c r="H10" i="1"/>
  <c r="J12" i="1"/>
  <c r="H13" i="1"/>
  <c r="S13" i="1"/>
  <c r="AC13" i="1"/>
  <c r="AA14" i="1"/>
  <c r="T16" i="1"/>
  <c r="T18" i="1"/>
  <c r="N21" i="1"/>
  <c r="Z21" i="1"/>
  <c r="M22" i="1"/>
  <c r="AA22" i="1"/>
  <c r="T25" i="1"/>
  <c r="J27" i="1"/>
  <c r="T27" i="1"/>
  <c r="R28" i="1"/>
  <c r="AD28" i="1"/>
  <c r="O29" i="1"/>
  <c r="AC29" i="1"/>
  <c r="T31" i="1"/>
  <c r="X32" i="1"/>
  <c r="O33" i="1"/>
  <c r="AB33" i="1"/>
  <c r="T21" i="1"/>
  <c r="Y7" i="1"/>
  <c r="K7" i="1"/>
  <c r="T7" i="1"/>
  <c r="V16" i="1"/>
  <c r="I19" i="1"/>
  <c r="AE19" i="1"/>
  <c r="O21" i="1"/>
  <c r="AB21" i="1"/>
  <c r="N22" i="1"/>
  <c r="AB22" i="1"/>
  <c r="L24" i="1"/>
  <c r="U24" i="1"/>
  <c r="AD24" i="1"/>
  <c r="W25" i="1"/>
  <c r="K27" i="1"/>
  <c r="V27" i="1"/>
  <c r="H28" i="1"/>
  <c r="S28" i="1"/>
  <c r="Q29" i="1"/>
  <c r="AD29" i="1"/>
  <c r="V31" i="1"/>
  <c r="Y32" i="1"/>
  <c r="R33" i="1"/>
  <c r="AC33" i="1"/>
  <c r="Q21" i="1"/>
  <c r="Y25" i="1"/>
  <c r="S29" i="1"/>
  <c r="AE29" i="1"/>
  <c r="S33" i="1"/>
  <c r="O11" i="1"/>
  <c r="Z11" i="1"/>
  <c r="O20" i="1"/>
  <c r="Z20" i="1"/>
  <c r="AD14" i="2"/>
  <c r="V14" i="2"/>
  <c r="N14" i="2"/>
  <c r="AC14" i="2"/>
  <c r="T14" i="2"/>
  <c r="K14" i="2"/>
  <c r="AB14" i="2"/>
  <c r="S14" i="2"/>
  <c r="J14" i="2"/>
  <c r="X14" i="2"/>
  <c r="O14" i="2"/>
  <c r="W14" i="2"/>
  <c r="M14" i="2"/>
  <c r="Y14" i="2"/>
  <c r="I10" i="1"/>
  <c r="T10" i="1"/>
  <c r="AE10" i="1"/>
  <c r="P11" i="1"/>
  <c r="AA11" i="1"/>
  <c r="O14" i="1"/>
  <c r="Z14" i="1"/>
  <c r="P20" i="1"/>
  <c r="AA20" i="1"/>
  <c r="Z32" i="1"/>
  <c r="R32" i="1"/>
  <c r="J32" i="1"/>
  <c r="AD32" i="1"/>
  <c r="U32" i="1"/>
  <c r="L32" i="1"/>
  <c r="AC32" i="1"/>
  <c r="T32" i="1"/>
  <c r="K32" i="1"/>
  <c r="W32" i="1"/>
  <c r="N32" i="1"/>
  <c r="V32" i="1"/>
  <c r="H14" i="2"/>
  <c r="Z14" i="2"/>
  <c r="Z18" i="2"/>
  <c r="R18" i="2"/>
  <c r="J18" i="2"/>
  <c r="AE18" i="2"/>
  <c r="AD18" i="2"/>
  <c r="U18" i="2"/>
  <c r="L18" i="2"/>
  <c r="AC18" i="2"/>
  <c r="T18" i="2"/>
  <c r="K18" i="2"/>
  <c r="AB18" i="2"/>
  <c r="S18" i="2"/>
  <c r="I18" i="2"/>
  <c r="X18" i="2"/>
  <c r="O18" i="2"/>
  <c r="W18" i="2"/>
  <c r="N18" i="2"/>
  <c r="H11" i="1"/>
  <c r="R14" i="1"/>
  <c r="O7" i="1"/>
  <c r="Z7" i="1"/>
  <c r="N10" i="1"/>
  <c r="X10" i="1"/>
  <c r="J11" i="1"/>
  <c r="U11" i="1"/>
  <c r="H14" i="1"/>
  <c r="S14" i="1"/>
  <c r="O16" i="1"/>
  <c r="Z16" i="1"/>
  <c r="AA18" i="1"/>
  <c r="S18" i="1"/>
  <c r="K18" i="1"/>
  <c r="AD18" i="1"/>
  <c r="V18" i="1"/>
  <c r="N18" i="1"/>
  <c r="Q18" i="1"/>
  <c r="AB18" i="1"/>
  <c r="N19" i="1"/>
  <c r="X19" i="1"/>
  <c r="J20" i="1"/>
  <c r="U20" i="1"/>
  <c r="Q25" i="1"/>
  <c r="AB25" i="1"/>
  <c r="AA31" i="1"/>
  <c r="S31" i="1"/>
  <c r="K31" i="1"/>
  <c r="AB31" i="1"/>
  <c r="R31" i="1"/>
  <c r="I31" i="1"/>
  <c r="Z31" i="1"/>
  <c r="Q31" i="1"/>
  <c r="H31" i="1"/>
  <c r="AD31" i="1"/>
  <c r="U31" i="1"/>
  <c r="L31" i="1"/>
  <c r="W31" i="1"/>
  <c r="M32" i="1"/>
  <c r="AA32" i="1"/>
  <c r="P14" i="2"/>
  <c r="Y11" i="1"/>
  <c r="Q11" i="1"/>
  <c r="I11" i="1"/>
  <c r="AB11" i="1"/>
  <c r="T11" i="1"/>
  <c r="L11" i="1"/>
  <c r="Y20" i="1"/>
  <c r="Q20" i="1"/>
  <c r="I20" i="1"/>
  <c r="AB20" i="1"/>
  <c r="T20" i="1"/>
  <c r="L20" i="1"/>
  <c r="R20" i="1"/>
  <c r="AC20" i="1"/>
  <c r="L10" i="1"/>
  <c r="AD14" i="1"/>
  <c r="V14" i="1"/>
  <c r="N14" i="1"/>
  <c r="Y14" i="1"/>
  <c r="Q14" i="1"/>
  <c r="I14" i="1"/>
  <c r="AB14" i="1"/>
  <c r="Q7" i="1"/>
  <c r="O10" i="1"/>
  <c r="Y10" i="1"/>
  <c r="K11" i="1"/>
  <c r="V11" i="1"/>
  <c r="X12" i="1"/>
  <c r="P12" i="1"/>
  <c r="H12" i="1"/>
  <c r="AA12" i="1"/>
  <c r="S12" i="1"/>
  <c r="K12" i="1"/>
  <c r="R12" i="1"/>
  <c r="AC12" i="1"/>
  <c r="J14" i="1"/>
  <c r="T14" i="1"/>
  <c r="AE14" i="1"/>
  <c r="Q16" i="1"/>
  <c r="H18" i="1"/>
  <c r="R18" i="1"/>
  <c r="AC18" i="1"/>
  <c r="O19" i="1"/>
  <c r="Y19" i="1"/>
  <c r="K20" i="1"/>
  <c r="V20" i="1"/>
  <c r="X21" i="1"/>
  <c r="P21" i="1"/>
  <c r="H21" i="1"/>
  <c r="AA21" i="1"/>
  <c r="S21" i="1"/>
  <c r="K21" i="1"/>
  <c r="R21" i="1"/>
  <c r="AC21" i="1"/>
  <c r="R25" i="1"/>
  <c r="J31" i="1"/>
  <c r="X31" i="1"/>
  <c r="O32" i="1"/>
  <c r="AB32" i="1"/>
  <c r="Q14" i="2"/>
  <c r="Q18" i="2"/>
  <c r="R11" i="1"/>
  <c r="AC11" i="1"/>
  <c r="W10" i="1"/>
  <c r="S11" i="1"/>
  <c r="AD11" i="1"/>
  <c r="H20" i="1"/>
  <c r="S20" i="1"/>
  <c r="AD20" i="1"/>
  <c r="AC7" i="1"/>
  <c r="U7" i="1"/>
  <c r="M7" i="1"/>
  <c r="X7" i="1"/>
  <c r="P7" i="1"/>
  <c r="H7" i="1"/>
  <c r="R7" i="1"/>
  <c r="AB7" i="1"/>
  <c r="P10" i="1"/>
  <c r="M11" i="1"/>
  <c r="W11" i="1"/>
  <c r="K14" i="1"/>
  <c r="U14" i="1"/>
  <c r="AC16" i="1"/>
  <c r="U16" i="1"/>
  <c r="M16" i="1"/>
  <c r="X16" i="1"/>
  <c r="P16" i="1"/>
  <c r="H16" i="1"/>
  <c r="R16" i="1"/>
  <c r="AB16" i="1"/>
  <c r="P19" i="1"/>
  <c r="M20" i="1"/>
  <c r="W20" i="1"/>
  <c r="AD25" i="1"/>
  <c r="V25" i="1"/>
  <c r="N25" i="1"/>
  <c r="AC25" i="1"/>
  <c r="U25" i="1"/>
  <c r="M25" i="1"/>
  <c r="X25" i="1"/>
  <c r="P25" i="1"/>
  <c r="H25" i="1"/>
  <c r="S25" i="1"/>
  <c r="P32" i="1"/>
  <c r="AE32" i="1"/>
  <c r="R14" i="2"/>
  <c r="Z10" i="1"/>
  <c r="R10" i="1"/>
  <c r="J10" i="1"/>
  <c r="AC10" i="1"/>
  <c r="U10" i="1"/>
  <c r="M10" i="1"/>
  <c r="Q10" i="1"/>
  <c r="AB10" i="1"/>
  <c r="N11" i="1"/>
  <c r="X11" i="1"/>
  <c r="Z19" i="1"/>
  <c r="R19" i="1"/>
  <c r="J19" i="1"/>
  <c r="AC19" i="1"/>
  <c r="U19" i="1"/>
  <c r="M19" i="1"/>
  <c r="Q19" i="1"/>
  <c r="AB19" i="1"/>
  <c r="N20" i="1"/>
  <c r="X20" i="1"/>
  <c r="Q32" i="1"/>
  <c r="Y18" i="2"/>
  <c r="O8" i="1"/>
  <c r="W8" i="1"/>
  <c r="AE8" i="1"/>
  <c r="J13" i="1"/>
  <c r="R13" i="1"/>
  <c r="Z13" i="1"/>
  <c r="O17" i="1"/>
  <c r="W17" i="1"/>
  <c r="AE17" i="1"/>
  <c r="J22" i="1"/>
  <c r="R22" i="1"/>
  <c r="Z22" i="1"/>
  <c r="O27" i="1"/>
  <c r="W27" i="1"/>
  <c r="AC28" i="1"/>
  <c r="U28" i="1"/>
  <c r="M28" i="1"/>
  <c r="P28" i="1"/>
  <c r="Y28" i="1"/>
  <c r="I29" i="1"/>
  <c r="R29" i="1"/>
  <c r="Y33" i="1"/>
  <c r="Q33" i="1"/>
  <c r="I33" i="1"/>
  <c r="P33" i="1"/>
  <c r="Z33" i="1"/>
  <c r="J11" i="2"/>
  <c r="S11" i="2"/>
  <c r="AC15" i="2"/>
  <c r="U15" i="2"/>
  <c r="M15" i="2"/>
  <c r="P15" i="2"/>
  <c r="Y15" i="2"/>
  <c r="I16" i="2"/>
  <c r="R16" i="2"/>
  <c r="L17" i="2"/>
  <c r="U17" i="2"/>
  <c r="AD17" i="2"/>
  <c r="Y19" i="2"/>
  <c r="Q19" i="2"/>
  <c r="I19" i="2"/>
  <c r="P19" i="2"/>
  <c r="Z19" i="2"/>
  <c r="J21" i="2"/>
  <c r="S21" i="2"/>
  <c r="J25" i="2"/>
  <c r="X25" i="2"/>
  <c r="M17" i="2"/>
  <c r="V17" i="2"/>
  <c r="K25" i="2"/>
  <c r="Y25" i="2"/>
  <c r="AA17" i="2"/>
  <c r="S17" i="2"/>
  <c r="K17" i="2"/>
  <c r="P17" i="2"/>
  <c r="Y17" i="2"/>
  <c r="Q25" i="2"/>
  <c r="L8" i="1"/>
  <c r="T8" i="1"/>
  <c r="O13" i="1"/>
  <c r="W13" i="1"/>
  <c r="L17" i="1"/>
  <c r="T17" i="1"/>
  <c r="O22" i="1"/>
  <c r="W22" i="1"/>
  <c r="AE22" i="1"/>
  <c r="H17" i="2"/>
  <c r="Q17" i="2"/>
  <c r="Z17" i="2"/>
  <c r="AD25" i="2"/>
  <c r="V25" i="2"/>
  <c r="N25" i="2"/>
  <c r="AC25" i="2"/>
  <c r="U25" i="2"/>
  <c r="M25" i="2"/>
  <c r="AB25" i="2"/>
  <c r="T25" i="2"/>
  <c r="L25" i="2"/>
  <c r="R25" i="2"/>
  <c r="H22" i="1"/>
  <c r="P22" i="1"/>
  <c r="O24" i="1"/>
  <c r="W24" i="1"/>
  <c r="M27" i="1"/>
  <c r="U27" i="1"/>
  <c r="AC27" i="1"/>
  <c r="N28" i="1"/>
  <c r="W28" i="1"/>
  <c r="AB29" i="1"/>
  <c r="T29" i="1"/>
  <c r="L29" i="1"/>
  <c r="P29" i="1"/>
  <c r="Y29" i="1"/>
  <c r="N33" i="1"/>
  <c r="W33" i="1"/>
  <c r="X11" i="2"/>
  <c r="P11" i="2"/>
  <c r="H11" i="2"/>
  <c r="Q11" i="2"/>
  <c r="Z11" i="2"/>
  <c r="AB16" i="2"/>
  <c r="T16" i="2"/>
  <c r="L16" i="2"/>
  <c r="P16" i="2"/>
  <c r="Y16" i="2"/>
  <c r="I17" i="2"/>
  <c r="R17" i="2"/>
  <c r="AB17" i="2"/>
  <c r="W19" i="2"/>
  <c r="X21" i="2"/>
  <c r="P21" i="2"/>
  <c r="H21" i="2"/>
  <c r="Q21" i="2"/>
  <c r="Z21" i="2"/>
  <c r="H25" i="2"/>
  <c r="S25" i="2"/>
  <c r="O29" i="2"/>
  <c r="W29" i="2"/>
  <c r="AE29" i="2"/>
  <c r="N30" i="2"/>
  <c r="V30" i="2"/>
  <c r="AD30" i="2"/>
  <c r="L33" i="2"/>
  <c r="T33" i="2"/>
  <c r="AB33" i="2"/>
  <c r="J36" i="2"/>
  <c r="R36" i="2"/>
  <c r="Z36" i="2"/>
  <c r="I37" i="2"/>
  <c r="Q37" i="2"/>
  <c r="Y37" i="2"/>
  <c r="O30" i="2"/>
  <c r="W30" i="2"/>
  <c r="AE30" i="2"/>
  <c r="N32" i="2"/>
  <c r="V32" i="2"/>
  <c r="AD32" i="2"/>
  <c r="M33" i="2"/>
  <c r="U33" i="2"/>
  <c r="AC33" i="2"/>
  <c r="L34" i="2"/>
  <c r="T34" i="2"/>
  <c r="AB34" i="2"/>
  <c r="K36" i="2"/>
  <c r="S36" i="2"/>
  <c r="AA36" i="2"/>
  <c r="J37" i="2"/>
  <c r="R37" i="2"/>
  <c r="Z37" i="2"/>
  <c r="I38" i="2"/>
  <c r="Q38" i="2"/>
  <c r="Y38" i="2"/>
  <c r="O12" i="2"/>
  <c r="W12" i="2"/>
  <c r="O22" i="2"/>
  <c r="W22" i="2"/>
  <c r="N23" i="2"/>
  <c r="V23" i="2"/>
  <c r="AD23" i="2"/>
  <c r="M24" i="2"/>
  <c r="U24" i="2"/>
  <c r="AC24" i="2"/>
  <c r="K26" i="2"/>
  <c r="S26" i="2"/>
  <c r="AA26" i="2"/>
  <c r="J27" i="2"/>
  <c r="R27" i="2"/>
  <c r="Z27" i="2"/>
  <c r="I29" i="2"/>
  <c r="Q29" i="2"/>
  <c r="Y29" i="2"/>
  <c r="H30" i="2"/>
  <c r="P30" i="2"/>
  <c r="X30" i="2"/>
  <c r="O32" i="2"/>
  <c r="W32" i="2"/>
  <c r="N33" i="2"/>
  <c r="V33" i="2"/>
  <c r="AD33" i="2"/>
  <c r="M34" i="2"/>
  <c r="U34" i="2"/>
  <c r="AC34" i="2"/>
  <c r="L36" i="2"/>
  <c r="T36" i="2"/>
  <c r="AB36" i="2"/>
  <c r="K37" i="2"/>
  <c r="S37" i="2"/>
  <c r="AA37" i="2"/>
  <c r="J38" i="2"/>
  <c r="R38" i="2"/>
  <c r="Z38" i="2"/>
  <c r="O23" i="2"/>
  <c r="W23" i="2"/>
  <c r="N24" i="2"/>
  <c r="V24" i="2"/>
  <c r="AD24" i="2"/>
  <c r="L26" i="2"/>
  <c r="T26" i="2"/>
  <c r="AB26" i="2"/>
  <c r="K27" i="2"/>
  <c r="S27" i="2"/>
  <c r="AA27" i="2"/>
  <c r="J29" i="2"/>
  <c r="R29" i="2"/>
  <c r="Z29" i="2"/>
  <c r="I30" i="2"/>
  <c r="Q30" i="2"/>
  <c r="Y30" i="2"/>
  <c r="O33" i="2"/>
  <c r="W33" i="2"/>
  <c r="AE33" i="2"/>
  <c r="M36" i="2"/>
  <c r="U36" i="2"/>
  <c r="AC36" i="2"/>
  <c r="L37" i="2"/>
  <c r="T37" i="2"/>
  <c r="AB37" i="2"/>
  <c r="O24" i="2"/>
  <c r="W24" i="2"/>
  <c r="M26" i="2"/>
  <c r="U26" i="2"/>
  <c r="AC26" i="2"/>
  <c r="L27" i="2"/>
  <c r="T27" i="2"/>
  <c r="AB27" i="2"/>
  <c r="K29" i="2"/>
  <c r="S29" i="2"/>
  <c r="AA29" i="2"/>
  <c r="J30" i="2"/>
  <c r="R30" i="2"/>
  <c r="Z30" i="2"/>
  <c r="H33" i="2"/>
  <c r="P33" i="2"/>
  <c r="X33" i="2"/>
  <c r="O34" i="2"/>
  <c r="W34" i="2"/>
  <c r="N36" i="2"/>
  <c r="V36" i="2"/>
  <c r="AD36" i="2"/>
  <c r="M37" i="2"/>
  <c r="U37" i="2"/>
  <c r="AC37" i="2"/>
  <c r="L38" i="2"/>
  <c r="T38" i="2"/>
  <c r="AB38" i="2"/>
  <c r="O36" i="2"/>
  <c r="W36" i="2"/>
  <c r="AE36" i="2"/>
  <c r="N37" i="2"/>
  <c r="V37" i="2"/>
  <c r="AD37" i="2"/>
  <c r="O26" i="2"/>
  <c r="W26" i="2"/>
  <c r="N27" i="2"/>
  <c r="V27" i="2"/>
  <c r="AD27" i="2"/>
  <c r="M29" i="2"/>
  <c r="U29" i="2"/>
  <c r="AC29" i="2"/>
  <c r="L30" i="2"/>
  <c r="T30" i="2"/>
  <c r="AB30" i="2"/>
  <c r="H36" i="2"/>
  <c r="P36" i="2"/>
  <c r="X36" i="2"/>
  <c r="O37" i="2"/>
  <c r="W37" i="2"/>
  <c r="AE37" i="2"/>
  <c r="O27" i="2"/>
  <c r="W27" i="2"/>
  <c r="N29" i="2"/>
  <c r="V29" i="2"/>
  <c r="M30" i="2"/>
  <c r="U30" i="2"/>
  <c r="K33" i="2"/>
  <c r="S33" i="2"/>
  <c r="I36" i="2"/>
  <c r="Q36" i="2"/>
  <c r="H37" i="2"/>
  <c r="P37" i="2"/>
  <c r="O38" i="2"/>
  <c r="W38" i="2"/>
</calcChain>
</file>

<file path=xl/sharedStrings.xml><?xml version="1.0" encoding="utf-8"?>
<sst xmlns="http://schemas.openxmlformats.org/spreadsheetml/2006/main" count="275" uniqueCount="130">
  <si>
    <t>PROJECT ACTIVITIES</t>
  </si>
  <si>
    <t>Jul 2026</t>
  </si>
  <si>
    <t>Aug 2026</t>
  </si>
  <si>
    <t>Sept 2026</t>
  </si>
  <si>
    <t>Oct 2026</t>
  </si>
  <si>
    <t>Nov 2026</t>
  </si>
  <si>
    <t>Dec 2026</t>
  </si>
  <si>
    <t>Activity / Task</t>
  </si>
  <si>
    <t>Responsibility</t>
  </si>
  <si>
    <t>Start</t>
  </si>
  <si>
    <t>Finish</t>
  </si>
  <si>
    <t>Days</t>
  </si>
  <si>
    <t>Day Basis</t>
  </si>
  <si>
    <t>Notes / Required Action</t>
  </si>
  <si>
    <t>15
Jul</t>
  </si>
  <si>
    <t>22
Jul</t>
  </si>
  <si>
    <t>29
Jul</t>
  </si>
  <si>
    <t>05
Aug</t>
  </si>
  <si>
    <t>12
Aug</t>
  </si>
  <si>
    <t>19
Aug</t>
  </si>
  <si>
    <t>26
Aug</t>
  </si>
  <si>
    <t>02
Sep</t>
  </si>
  <si>
    <t>09
Sep</t>
  </si>
  <si>
    <t>16
Sep</t>
  </si>
  <si>
    <t>23
Sep</t>
  </si>
  <si>
    <t>30
Sep</t>
  </si>
  <si>
    <t>07
Oct</t>
  </si>
  <si>
    <t>14
Oct</t>
  </si>
  <si>
    <t>21
Oct</t>
  </si>
  <si>
    <t>28
Oct</t>
  </si>
  <si>
    <t>04
Nov</t>
  </si>
  <si>
    <t>11
Nov</t>
  </si>
  <si>
    <t>18
Nov</t>
  </si>
  <si>
    <t>25
Nov</t>
  </si>
  <si>
    <t>02
Dec</t>
  </si>
  <si>
    <t>09
Dec</t>
  </si>
  <si>
    <t>16
Dec</t>
  </si>
  <si>
    <t>23
Dec</t>
  </si>
  <si>
    <t>PROJECT COMMENCEMENT</t>
  </si>
  <si>
    <t>Project kick-off</t>
  </si>
  <si>
    <t>Wood Couture / Project Team</t>
  </si>
  <si>
    <t>Milestone</t>
  </si>
  <si>
    <t>Kick-off completed.</t>
  </si>
  <si>
    <t>Wood Couture</t>
  </si>
  <si>
    <t>Calendar days</t>
  </si>
  <si>
    <t>Issued within seven days of kick-off.</t>
  </si>
  <si>
    <t>DESIGN-TEAM INPUT AND FF&amp;E APPROVALS</t>
  </si>
  <si>
    <t>Client Design Team</t>
  </si>
  <si>
    <t>FF&amp;E SHD V00 parallel review and feedback</t>
  </si>
  <si>
    <t>Client Design Team / Wood Couture / WC Production</t>
  </si>
  <si>
    <t>Working days</t>
  </si>
  <si>
    <t>Parallel review following Version 00 issue.</t>
  </si>
  <si>
    <t>FF&amp;E SHD Version 01 drafting</t>
  </si>
  <si>
    <t>Drafting after Version 00 feedback.</t>
  </si>
  <si>
    <t>One-week review loop.</t>
  </si>
  <si>
    <t>FF&amp;E SHD Version 02 drafting</t>
  </si>
  <si>
    <t>Final drafting based on consolidated feedback.</t>
  </si>
  <si>
    <t>Signed FF&amp;E SHD Version 02 and confirmed material package</t>
  </si>
  <si>
    <t>Production-release gate: signed drawing and confirmed material package.</t>
  </si>
  <si>
    <t>FIT-OUT DRAWINGS, SURVEY AND APPROVALS</t>
  </si>
  <si>
    <t>Fit-out RFI closure</t>
  </si>
  <si>
    <t>Client / Architect</t>
  </si>
  <si>
    <t>Fit-out clarifications closed before completing the drawing package.</t>
  </si>
  <si>
    <t>Fit-out site survey</t>
  </si>
  <si>
    <t>Fit-out site-survey report</t>
  </si>
  <si>
    <t>Survey findings documented while Version 00 development progressed.</t>
  </si>
  <si>
    <t>Fit-out SHD Version 00 and preliminary material package</t>
  </si>
  <si>
    <t>Wood Couture / WC Production</t>
  </si>
  <si>
    <t>Developed from the site survey and available architectural information.</t>
  </si>
  <si>
    <t>Fit-out SHD Version 00 review and agreement in principle</t>
  </si>
  <si>
    <t>Fit-out SHD Version 01 revisions</t>
  </si>
  <si>
    <t>Survey information and parallel comments incorporated.</t>
  </si>
  <si>
    <t>Fit-out SHD Version 01 and material-package approval</t>
  </si>
  <si>
    <t>Final fit-out production-release gate.</t>
  </si>
  <si>
    <t>FF&amp;E mock-up production, QC and packing</t>
  </si>
  <si>
    <t>WC Production</t>
  </si>
  <si>
    <t>Fit-out production, QC and packing</t>
  </si>
  <si>
    <t>LOGISTICS</t>
  </si>
  <si>
    <t>Combined dispatch on next available sailing</t>
  </si>
  <si>
    <t>Wood Couture / Forwarder</t>
  </si>
  <si>
    <t>FF&amp;E and fit-out packages dispatch together.</t>
  </si>
  <si>
    <t>Sea freight to Casablanca</t>
  </si>
  <si>
    <t>Forwarder</t>
  </si>
  <si>
    <t>Customs, port release and delivery to site</t>
  </si>
  <si>
    <t>Importer / Forwarder</t>
  </si>
  <si>
    <t>ON-SITE INSTALLATION AND COMPLETION</t>
  </si>
  <si>
    <t>Fit-out installation</t>
  </si>
  <si>
    <t>WC Installation Team</t>
  </si>
  <si>
    <t>Fit-out installation precedes FF&amp;E installation.</t>
  </si>
  <si>
    <t>FF&amp;E installation</t>
  </si>
  <si>
    <t>Two-day FF&amp;E installation after fit-out.</t>
  </si>
  <si>
    <t>Complete T1B1 mock-up ready for inspection</t>
  </si>
  <si>
    <t>All Parties</t>
  </si>
  <si>
    <t>PROGRAMME BASIS: The same task durations are used in Project Plan Versions 1 and 2. Blue cells show editable dates, durations and day basis. Milestones are shown as 0 days.</t>
  </si>
  <si>
    <t>INDICATIVE REVISED READINESS: 20 December 2026 | Subject to the confirmations noted below</t>
  </si>
  <si>
    <t>Formal parallel review resumes on 24 August.</t>
  </si>
  <si>
    <t>Final drafting after Version 01 feedback.</t>
  </si>
  <si>
    <t>Production starts only after signed Version 02 and confirmed materials.</t>
  </si>
  <si>
    <t>Survey planned once the white box is ready.</t>
  </si>
  <si>
    <t>Three to four working days after the survey.</t>
  </si>
  <si>
    <t>Developed from the available architectural drawings before the site survey.</t>
  </si>
  <si>
    <t>Site-survey findings and parallel feedback incorporated into Version 01.</t>
  </si>
  <si>
    <t>Controlled by completion of both packages and the next available sailing.</t>
  </si>
  <si>
    <t>OPEN CONFIRMATIONS</t>
  </si>
  <si>
    <t>Site access</t>
  </si>
  <si>
    <t>p</t>
  </si>
  <si>
    <t xml:space="preserve">K5M - T1B1 MOCK-UP | PROJECT PLAN </t>
  </si>
  <si>
    <t xml:space="preserve">CHANGE LOG </t>
  </si>
  <si>
    <t xml:space="preserve">G&amp;B informed in the kick off meeting their office wont be operational from 1st August to 24th August. </t>
  </si>
  <si>
    <t xml:space="preserve">Got confirmation on whitebox availbality for site survey will be 30th August and not immediate as before. </t>
  </si>
  <si>
    <t>17.07.2026</t>
  </si>
  <si>
    <t>K5M - T1B1 MOCK-UP | PROJECT PLAN</t>
  </si>
  <si>
    <t>First RFI and FF&amp;E SHD Version 00  issue</t>
  </si>
  <si>
    <t xml:space="preserve"> The site survey needs be completed before Version 00 development.</t>
  </si>
  <si>
    <t>Fit-out SHD Version 00 review</t>
  </si>
  <si>
    <t xml:space="preserve">Design review and feedback loop </t>
  </si>
  <si>
    <t>FFE - RFI, SHDs AND MATERIAL PACKAGE APPROVALS</t>
  </si>
  <si>
    <t>WDCO PRODUCTION</t>
  </si>
  <si>
    <t>G&amp;B  Team availability</t>
  </si>
  <si>
    <t>Internal and WDCO Production feedback can progress in parallel.</t>
  </si>
  <si>
    <t>FF&amp;E SHD Version 01 &amp; Material Package Submission - parallel review and feedback</t>
  </si>
  <si>
    <t>Formal review resumes after 24th August ( Team unavailable between 1–23 August).</t>
  </si>
  <si>
    <t>Developed while G&amp;B team review is unavailable.</t>
  </si>
  <si>
    <t>Required before completing the fit-out drawing package. Have changed the activity sequence to utilize time till white box availability</t>
  </si>
  <si>
    <t>Agreement in principle before survey-dependent Version 01. (Assumption approval is issued from Architect office in Morocco)</t>
  </si>
  <si>
    <t>Sea-freight allowance</t>
  </si>
  <si>
    <t>Please confirm whether the  site will remain accessible for Wood Couture's fit-out survey on 31 August 2026, considering the site holiday period (Mawlid) shown from 25 August to 15 September 2026.</t>
  </si>
  <si>
    <t>15.07.2026</t>
  </si>
  <si>
    <t xml:space="preserve"> TARGET: Complete T1B1 mock-up fully installed and ready for inspection by  November 2026</t>
  </si>
  <si>
    <t>INDICATIVE REVISED READINESS: 20 December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</si>
</sst>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"/>
  </numFmts>
  <fonts count="19">
    <font>
      <sz val="11"/>
      <name val="Carlito"/>
    </font>
    <font>
      <sz val="9"/>
      <color rgb="FF292B2B"/>
      <name val="Lato"/>
    </font>
    <font>
      <b/>
      <sz val="16"/>
      <color rgb="FFFFFFFF"/>
      <name val="Lato"/>
    </font>
    <font>
      <b/>
      <sz val="10"/>
      <color rgb="FFC9563E"/>
      <name val="Lato"/>
      <family val="2"/>
    </font>
    <font>
      <sz val="10"/>
      <color rgb="FFFFFFFF"/>
      <name val="Lato"/>
      <family val="2"/>
    </font>
    <font>
      <sz val="12"/>
      <color rgb="FF292B2B"/>
      <name val="Lato"/>
      <family val="2"/>
    </font>
    <font>
      <b/>
      <sz val="12"/>
      <color rgb="FFBC8A7E"/>
      <name val="Lato"/>
      <family val="2"/>
    </font>
    <font>
      <sz val="12"/>
      <name val="Carlito"/>
    </font>
    <font>
      <b/>
      <sz val="12"/>
      <color rgb="FFFFFFFF"/>
      <name val="Lato"/>
      <family val="2"/>
    </font>
    <font>
      <b/>
      <sz val="12"/>
      <color rgb="FFC9563E"/>
      <name val="Lato"/>
      <family val="2"/>
    </font>
    <font>
      <i/>
      <sz val="12"/>
      <color rgb="FF292B2B"/>
      <name val="Lato"/>
      <family val="2"/>
    </font>
    <font>
      <b/>
      <sz val="12"/>
      <color rgb="FF2F7055"/>
      <name val="Lato"/>
      <family val="2"/>
    </font>
    <font>
      <sz val="12"/>
      <color rgb="FFFFFFFF"/>
      <name val="Lato"/>
      <family val="2"/>
    </font>
    <font>
      <sz val="9"/>
      <color theme="0"/>
      <name val="Lato"/>
      <family val="2"/>
    </font>
    <font>
      <b/>
      <sz val="12"/>
      <color theme="0"/>
      <name val="Lato"/>
      <family val="2"/>
    </font>
    <font>
      <sz val="12"/>
      <color rgb="FFFF0000"/>
      <name val="Lato"/>
      <family val="2"/>
    </font>
    <font>
      <b/>
      <sz val="12"/>
      <color rgb="FFFF0000"/>
      <name val="Lato"/>
      <family val="2"/>
    </font>
    <font>
      <sz val="12"/>
      <name val="Lato"/>
      <family val="2"/>
    </font>
    <font>
      <sz val="12"/>
      <color theme="1"/>
      <name val="Lato"/>
      <family val="2"/>
    </font>
  </fonts>
  <fills count="12">
    <fill>
      <patternFill patternType="none"/>
    </fill>
    <fill>
      <patternFill patternType="gray125"/>
    </fill>
    <fill>
      <patternFill patternType="solid">
        <fgColor rgb="FF292B2B"/>
      </patternFill>
    </fill>
    <fill>
      <patternFill patternType="solid">
        <fgColor rgb="FFF8F3EE"/>
      </patternFill>
    </fill>
    <fill>
      <patternFill patternType="solid">
        <fgColor rgb="FFE1F0E8"/>
      </patternFill>
    </fill>
    <fill>
      <patternFill patternType="solid">
        <fgColor rgb="FF526777"/>
      </patternFill>
    </fill>
    <fill>
      <patternFill patternType="solid">
        <fgColor rgb="FFFFF4DD"/>
      </patternFill>
    </fill>
    <fill>
      <patternFill patternType="solid">
        <fgColor rgb="FFFFFFFF"/>
      </patternFill>
    </fill>
    <fill>
      <patternFill patternType="solid">
        <fgColor rgb="FFE8EEF2"/>
      </patternFill>
    </fill>
    <fill>
      <patternFill patternType="solid">
        <fgColor rgb="FFFCE5DE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13">
    <border>
      <left/>
      <right/>
      <top/>
      <bottom/>
      <diagonal/>
    </border>
    <border>
      <left style="medium">
        <color rgb="FF2F7055"/>
      </left>
      <right/>
      <top style="medium">
        <color rgb="FF2F7055"/>
      </top>
      <bottom style="medium">
        <color rgb="FF2F7055"/>
      </bottom>
      <diagonal/>
    </border>
    <border>
      <left/>
      <right/>
      <top style="medium">
        <color rgb="FF2F7055"/>
      </top>
      <bottom style="medium">
        <color rgb="FF2F7055"/>
      </bottom>
      <diagonal/>
    </border>
    <border>
      <left/>
      <right style="medium">
        <color rgb="FF2F7055"/>
      </right>
      <top style="medium">
        <color rgb="FF2F7055"/>
      </top>
      <bottom style="medium">
        <color rgb="FF2F705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8D4D0"/>
      </bottom>
      <diagonal/>
    </border>
    <border>
      <left style="thin">
        <color rgb="FFD8D4D0"/>
      </left>
      <right style="thin">
        <color rgb="FFD8D4D0"/>
      </right>
      <top style="thin">
        <color rgb="FFD8D4D0"/>
      </top>
      <bottom style="thin">
        <color rgb="FFD8D4D0"/>
      </bottom>
      <diagonal/>
    </border>
    <border>
      <left style="thin">
        <color rgb="FFD8D4D0"/>
      </left>
      <right/>
      <top style="thin">
        <color rgb="FFD8D4D0"/>
      </top>
      <bottom style="thin">
        <color rgb="FFD8D4D0"/>
      </bottom>
      <diagonal/>
    </border>
    <border>
      <left/>
      <right/>
      <top style="thin">
        <color rgb="FFD8D4D0"/>
      </top>
      <bottom style="thin">
        <color rgb="FFD8D4D0"/>
      </bottom>
      <diagonal/>
    </border>
    <border>
      <left/>
      <right style="thin">
        <color rgb="FFD8D4D0"/>
      </right>
      <top style="thin">
        <color rgb="FFD8D4D0"/>
      </top>
      <bottom style="thin">
        <color rgb="FFD8D4D0"/>
      </bottom>
      <diagonal/>
    </border>
    <border>
      <left style="medium">
        <color rgb="FFC9563E"/>
      </left>
      <right/>
      <top style="medium">
        <color rgb="FFC9563E"/>
      </top>
      <bottom style="medium">
        <color rgb="FFC9563E"/>
      </bottom>
      <diagonal/>
    </border>
    <border>
      <left/>
      <right/>
      <top style="medium">
        <color rgb="FFC9563E"/>
      </top>
      <bottom style="medium">
        <color rgb="FFC9563E"/>
      </bottom>
      <diagonal/>
    </border>
    <border>
      <left/>
      <right style="medium">
        <color rgb="FFC9563E"/>
      </right>
      <top style="medium">
        <color rgb="FFC9563E"/>
      </top>
      <bottom style="medium">
        <color rgb="FFC9563E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4" fillId="0" borderId="0" xfId="0" applyFont="1"/>
    <xf numFmtId="164" fontId="4" fillId="0" borderId="0" xfId="0" applyNumberFormat="1" applyFont="1"/>
    <xf numFmtId="0" fontId="5" fillId="7" borderId="5" xfId="0" applyFont="1" applyFill="1" applyBorder="1" applyAlignment="1">
      <alignment vertical="center" wrapText="1"/>
    </xf>
    <xf numFmtId="164" fontId="5" fillId="8" borderId="5" xfId="0" applyNumberFormat="1" applyFont="1" applyFill="1" applyBorder="1" applyAlignment="1">
      <alignment vertical="center" wrapText="1"/>
    </xf>
    <xf numFmtId="0" fontId="5" fillId="8" borderId="5" xfId="0" applyFont="1" applyFill="1" applyBorder="1" applyAlignment="1">
      <alignment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7" fillId="0" borderId="0" xfId="0" applyFont="1"/>
    <xf numFmtId="0" fontId="9" fillId="6" borderId="5" xfId="0" applyFont="1" applyFill="1" applyBorder="1" applyAlignment="1">
      <alignment vertical="center" wrapText="1"/>
    </xf>
    <xf numFmtId="164" fontId="9" fillId="6" borderId="5" xfId="0" applyNumberFormat="1" applyFont="1" applyFill="1" applyBorder="1" applyAlignment="1">
      <alignment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wrapText="1"/>
    </xf>
    <xf numFmtId="0" fontId="12" fillId="0" borderId="0" xfId="0" applyFont="1" applyAlignment="1">
      <alignment wrapText="1"/>
    </xf>
    <xf numFmtId="164" fontId="12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0" fontId="12" fillId="0" borderId="0" xfId="0" applyFont="1" applyAlignment="1">
      <alignment horizontal="center" wrapText="1"/>
    </xf>
    <xf numFmtId="1" fontId="9" fillId="6" borderId="5" xfId="0" applyNumberFormat="1" applyFont="1" applyFill="1" applyBorder="1" applyAlignment="1">
      <alignment horizontal="center" vertical="center" wrapText="1"/>
    </xf>
    <xf numFmtId="1" fontId="5" fillId="8" borderId="5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10" borderId="0" xfId="0" applyFont="1" applyFill="1" applyAlignment="1">
      <alignment vertical="center" wrapText="1"/>
    </xf>
    <xf numFmtId="164" fontId="9" fillId="10" borderId="0" xfId="0" applyNumberFormat="1" applyFont="1" applyFill="1" applyAlignment="1">
      <alignment vertical="center" wrapText="1"/>
    </xf>
    <xf numFmtId="0" fontId="9" fillId="10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9" fillId="10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5" fillId="7" borderId="5" xfId="0" applyFont="1" applyFill="1" applyBorder="1" applyAlignment="1">
      <alignment vertical="center" wrapText="1"/>
    </xf>
    <xf numFmtId="0" fontId="8" fillId="2" borderId="0" xfId="0" applyFont="1" applyFill="1" applyAlignment="1">
      <alignment horizontal="left" vertical="center"/>
    </xf>
    <xf numFmtId="0" fontId="9" fillId="6" borderId="6" xfId="0" applyFont="1" applyFill="1" applyBorder="1" applyAlignment="1">
      <alignment vertical="center" wrapText="1"/>
    </xf>
    <xf numFmtId="0" fontId="5" fillId="6" borderId="6" xfId="0" applyFont="1" applyFill="1" applyBorder="1" applyAlignment="1">
      <alignment vertical="center" wrapText="1"/>
    </xf>
    <xf numFmtId="0" fontId="8" fillId="5" borderId="0" xfId="0" applyFont="1" applyFill="1" applyAlignment="1">
      <alignment horizontal="left" vertical="center"/>
    </xf>
    <xf numFmtId="0" fontId="10" fillId="3" borderId="7" xfId="0" applyFont="1" applyFill="1" applyBorder="1" applyAlignment="1">
      <alignment horizontal="left" vertical="center" wrapText="1"/>
    </xf>
    <xf numFmtId="0" fontId="10" fillId="3" borderId="8" xfId="0" applyFont="1" applyFill="1" applyBorder="1" applyAlignment="1">
      <alignment horizontal="left" vertical="center" wrapText="1"/>
    </xf>
    <xf numFmtId="0" fontId="10" fillId="3" borderId="9" xfId="0" applyFont="1" applyFill="1" applyBorder="1" applyAlignment="1">
      <alignment horizontal="left" vertical="center" wrapText="1"/>
    </xf>
    <xf numFmtId="0" fontId="3" fillId="9" borderId="10" xfId="0" applyFont="1" applyFill="1" applyBorder="1" applyAlignment="1">
      <alignment horizontal="left" vertical="center"/>
    </xf>
    <xf numFmtId="0" fontId="3" fillId="9" borderId="11" xfId="0" applyFont="1" applyFill="1" applyBorder="1" applyAlignment="1">
      <alignment horizontal="left" vertical="center"/>
    </xf>
    <xf numFmtId="0" fontId="3" fillId="9" borderId="12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11" fillId="4" borderId="1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11" fillId="4" borderId="3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4" fillId="11" borderId="0" xfId="0" applyFont="1" applyFill="1" applyAlignment="1">
      <alignment vertical="center"/>
    </xf>
    <xf numFmtId="0" fontId="13" fillId="11" borderId="0" xfId="0" applyFont="1" applyFill="1" applyAlignment="1">
      <alignment vertical="center"/>
    </xf>
    <xf numFmtId="0" fontId="13" fillId="11" borderId="0" xfId="0" applyFont="1" applyFill="1" applyAlignment="1">
      <alignment horizontal="center" vertical="center"/>
    </xf>
    <xf numFmtId="164" fontId="16" fillId="8" borderId="5" xfId="0" applyNumberFormat="1" applyFont="1" applyFill="1" applyBorder="1" applyAlignment="1">
      <alignment vertical="center" wrapText="1"/>
    </xf>
    <xf numFmtId="1" fontId="16" fillId="8" borderId="5" xfId="0" applyNumberFormat="1" applyFont="1" applyFill="1" applyBorder="1" applyAlignment="1">
      <alignment horizontal="center" vertical="center" wrapText="1"/>
    </xf>
    <xf numFmtId="164" fontId="17" fillId="8" borderId="5" xfId="0" applyNumberFormat="1" applyFont="1" applyFill="1" applyBorder="1" applyAlignment="1">
      <alignment vertical="center" wrapText="1"/>
    </xf>
    <xf numFmtId="164" fontId="16" fillId="6" borderId="5" xfId="0" applyNumberFormat="1" applyFont="1" applyFill="1" applyBorder="1" applyAlignment="1">
      <alignment vertical="center" wrapText="1"/>
    </xf>
    <xf numFmtId="164" fontId="18" fillId="8" borderId="5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4">
    <dxf>
      <font>
        <b/>
        <color rgb="FFBC8A7E"/>
      </font>
      <fill>
        <patternFill patternType="solid">
          <bgColor rgb="FFF1E7E4"/>
        </patternFill>
      </fill>
    </dxf>
    <dxf>
      <font>
        <b/>
        <color rgb="FFC9563E"/>
      </font>
      <fill>
        <patternFill patternType="solid">
          <bgColor rgb="FFFFF4DD"/>
        </patternFill>
      </fill>
    </dxf>
    <dxf>
      <font>
        <b/>
        <color rgb="FFBC8A7E"/>
      </font>
      <fill>
        <patternFill patternType="solid">
          <bgColor rgb="FFF1E7E4"/>
        </patternFill>
      </fill>
    </dxf>
    <dxf>
      <font>
        <b/>
        <color rgb="FFC9563E"/>
      </font>
      <fill>
        <patternFill patternType="solid">
          <bgColor rgb="FFFFF4D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68"/>
  <sheetViews>
    <sheetView showGridLines="0" topLeftCell="A24" zoomScale="60" zoomScaleNormal="60" workbookViewId="0">
      <selection activeCell="E37" sqref="E37"/>
    </sheetView>
  </sheetViews>
  <sheetFormatPr defaultRowHeight="14"/>
  <cols>
    <col min="1" max="1" width="39" customWidth="1"/>
    <col min="2" max="2" width="27" hidden="1" customWidth="1"/>
    <col min="3" max="4" width="12" customWidth="1"/>
    <col min="5" max="5" width="9" style="23" customWidth="1"/>
    <col min="6" max="6" width="14" hidden="1" customWidth="1"/>
    <col min="7" max="7" width="42" customWidth="1"/>
    <col min="8" max="31" width="5" customWidth="1"/>
  </cols>
  <sheetData>
    <row r="1" spans="1:31" ht="31" customHeight="1">
      <c r="A1" s="43" t="s">
        <v>106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</row>
    <row r="2" spans="1:31" s="14" customFormat="1" ht="36.5" customHeight="1">
      <c r="A2" s="44" t="s">
        <v>128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6"/>
    </row>
    <row r="3" spans="1:31" s="14" customFormat="1" ht="36.5" customHeight="1">
      <c r="A3" s="15"/>
      <c r="B3" s="15"/>
      <c r="C3" s="15"/>
      <c r="D3" s="15"/>
      <c r="E3" s="18"/>
      <c r="F3" s="15"/>
      <c r="G3" s="15"/>
      <c r="H3" s="16">
        <v>46218</v>
      </c>
      <c r="I3" s="16">
        <v>46225</v>
      </c>
      <c r="J3" s="16">
        <v>46232</v>
      </c>
      <c r="K3" s="16">
        <v>46239</v>
      </c>
      <c r="L3" s="16">
        <v>46246</v>
      </c>
      <c r="M3" s="16">
        <v>46253</v>
      </c>
      <c r="N3" s="16">
        <v>46260</v>
      </c>
      <c r="O3" s="16">
        <v>46267</v>
      </c>
      <c r="P3" s="16">
        <v>46274</v>
      </c>
      <c r="Q3" s="16">
        <v>46281</v>
      </c>
      <c r="R3" s="16">
        <v>46288</v>
      </c>
      <c r="S3" s="16">
        <v>46295</v>
      </c>
      <c r="T3" s="16">
        <v>46302</v>
      </c>
      <c r="U3" s="16">
        <v>46309</v>
      </c>
      <c r="V3" s="16">
        <v>46316</v>
      </c>
      <c r="W3" s="16">
        <v>46323</v>
      </c>
      <c r="X3" s="16">
        <v>46330</v>
      </c>
      <c r="Y3" s="16">
        <v>46337</v>
      </c>
      <c r="Z3" s="16">
        <v>46344</v>
      </c>
      <c r="AA3" s="16">
        <v>46351</v>
      </c>
      <c r="AB3" s="16">
        <v>46358</v>
      </c>
      <c r="AC3" s="16">
        <v>46365</v>
      </c>
      <c r="AD3" s="16">
        <v>46372</v>
      </c>
      <c r="AE3" s="16">
        <v>46379</v>
      </c>
    </row>
    <row r="4" spans="1:31" s="14" customFormat="1" ht="36.5" customHeight="1">
      <c r="A4" s="47" t="s">
        <v>0</v>
      </c>
      <c r="B4" s="47"/>
      <c r="C4" s="47"/>
      <c r="D4" s="47"/>
      <c r="E4" s="47"/>
      <c r="F4" s="47"/>
      <c r="G4" s="47"/>
      <c r="H4" s="48" t="s">
        <v>1</v>
      </c>
      <c r="I4" s="48"/>
      <c r="J4" s="48"/>
      <c r="K4" s="48" t="s">
        <v>2</v>
      </c>
      <c r="L4" s="48"/>
      <c r="M4" s="48"/>
      <c r="N4" s="48"/>
      <c r="O4" s="48" t="s">
        <v>3</v>
      </c>
      <c r="P4" s="48"/>
      <c r="Q4" s="48"/>
      <c r="R4" s="48"/>
      <c r="S4" s="48"/>
      <c r="T4" s="48" t="s">
        <v>4</v>
      </c>
      <c r="U4" s="48"/>
      <c r="V4" s="48"/>
      <c r="W4" s="48"/>
      <c r="X4" s="48" t="s">
        <v>5</v>
      </c>
      <c r="Y4" s="48"/>
      <c r="Z4" s="48"/>
      <c r="AA4" s="48"/>
      <c r="AB4" s="48" t="s">
        <v>6</v>
      </c>
      <c r="AC4" s="48"/>
      <c r="AD4" s="48"/>
      <c r="AE4" s="48"/>
    </row>
    <row r="5" spans="1:31" s="14" customFormat="1" ht="36.5" customHeight="1">
      <c r="A5" s="12" t="s">
        <v>7</v>
      </c>
      <c r="B5" s="12" t="s">
        <v>8</v>
      </c>
      <c r="C5" s="12" t="s">
        <v>9</v>
      </c>
      <c r="D5" s="12" t="s">
        <v>10</v>
      </c>
      <c r="E5" s="12" t="s">
        <v>11</v>
      </c>
      <c r="F5" s="12" t="s">
        <v>12</v>
      </c>
      <c r="G5" s="12" t="s">
        <v>13</v>
      </c>
      <c r="H5" s="12" t="s">
        <v>14</v>
      </c>
      <c r="I5" s="12" t="s">
        <v>15</v>
      </c>
      <c r="J5" s="12" t="s">
        <v>16</v>
      </c>
      <c r="K5" s="12" t="s">
        <v>17</v>
      </c>
      <c r="L5" s="12" t="s">
        <v>18</v>
      </c>
      <c r="M5" s="12" t="s">
        <v>19</v>
      </c>
      <c r="N5" s="12" t="s">
        <v>20</v>
      </c>
      <c r="O5" s="12" t="s">
        <v>21</v>
      </c>
      <c r="P5" s="12" t="s">
        <v>22</v>
      </c>
      <c r="Q5" s="12" t="s">
        <v>23</v>
      </c>
      <c r="R5" s="12" t="s">
        <v>24</v>
      </c>
      <c r="S5" s="12" t="s">
        <v>25</v>
      </c>
      <c r="T5" s="12" t="s">
        <v>26</v>
      </c>
      <c r="U5" s="12" t="s">
        <v>27</v>
      </c>
      <c r="V5" s="12" t="s">
        <v>28</v>
      </c>
      <c r="W5" s="12" t="s">
        <v>29</v>
      </c>
      <c r="X5" s="12" t="s">
        <v>30</v>
      </c>
      <c r="Y5" s="12" t="s">
        <v>31</v>
      </c>
      <c r="Z5" s="12" t="s">
        <v>32</v>
      </c>
      <c r="AA5" s="12" t="s">
        <v>33</v>
      </c>
      <c r="AB5" s="12" t="s">
        <v>34</v>
      </c>
      <c r="AC5" s="12" t="s">
        <v>35</v>
      </c>
      <c r="AD5" s="12" t="s">
        <v>36</v>
      </c>
      <c r="AE5" s="12" t="s">
        <v>37</v>
      </c>
    </row>
    <row r="6" spans="1:31" s="14" customFormat="1" ht="36.5" customHeight="1">
      <c r="A6" s="42" t="s">
        <v>38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</row>
    <row r="7" spans="1:31" s="14" customFormat="1" ht="36.5" customHeight="1">
      <c r="A7" s="9" t="s">
        <v>39</v>
      </c>
      <c r="B7" s="9" t="s">
        <v>40</v>
      </c>
      <c r="C7" s="10">
        <v>46218</v>
      </c>
      <c r="D7" s="10">
        <f>IF(E7=0,C7,IF(F7="Working days",WORKDAY(C7,E7-1),C7+E7-1))</f>
        <v>46218</v>
      </c>
      <c r="E7" s="19">
        <v>0</v>
      </c>
      <c r="F7" s="9" t="s">
        <v>41</v>
      </c>
      <c r="G7" s="9" t="s">
        <v>42</v>
      </c>
      <c r="H7" s="11" t="str">
        <f t="shared" ref="H7:Q8" si="0">IF(AND(H$3&lt;=$D7,H$3+6&gt;=$C7),IF($E7=0,"◆","■"),"")</f>
        <v>◆</v>
      </c>
      <c r="I7" s="11" t="str">
        <f t="shared" si="0"/>
        <v/>
      </c>
      <c r="J7" s="11" t="str">
        <f t="shared" si="0"/>
        <v/>
      </c>
      <c r="K7" s="11" t="str">
        <f t="shared" si="0"/>
        <v/>
      </c>
      <c r="L7" s="11" t="str">
        <f t="shared" si="0"/>
        <v/>
      </c>
      <c r="M7" s="11" t="str">
        <f t="shared" si="0"/>
        <v/>
      </c>
      <c r="N7" s="11" t="str">
        <f t="shared" si="0"/>
        <v/>
      </c>
      <c r="O7" s="11" t="str">
        <f t="shared" si="0"/>
        <v/>
      </c>
      <c r="P7" s="11" t="str">
        <f t="shared" si="0"/>
        <v/>
      </c>
      <c r="Q7" s="11" t="str">
        <f t="shared" si="0"/>
        <v/>
      </c>
      <c r="R7" s="11" t="str">
        <f t="shared" ref="R7:AE8" si="1">IF(AND(R$3&lt;=$D7,R$3+6&gt;=$C7),IF($E7=0,"◆","■"),"")</f>
        <v/>
      </c>
      <c r="S7" s="11" t="str">
        <f t="shared" si="1"/>
        <v/>
      </c>
      <c r="T7" s="11" t="str">
        <f t="shared" si="1"/>
        <v/>
      </c>
      <c r="U7" s="11" t="str">
        <f t="shared" si="1"/>
        <v/>
      </c>
      <c r="V7" s="11" t="str">
        <f t="shared" si="1"/>
        <v/>
      </c>
      <c r="W7" s="11" t="str">
        <f t="shared" si="1"/>
        <v/>
      </c>
      <c r="X7" s="11" t="str">
        <f t="shared" si="1"/>
        <v/>
      </c>
      <c r="Y7" s="11" t="str">
        <f t="shared" si="1"/>
        <v/>
      </c>
      <c r="Z7" s="11" t="str">
        <f t="shared" si="1"/>
        <v/>
      </c>
      <c r="AA7" s="11" t="str">
        <f t="shared" si="1"/>
        <v/>
      </c>
      <c r="AB7" s="11" t="str">
        <f t="shared" si="1"/>
        <v/>
      </c>
      <c r="AC7" s="11" t="str">
        <f t="shared" si="1"/>
        <v/>
      </c>
      <c r="AD7" s="11" t="str">
        <f t="shared" si="1"/>
        <v/>
      </c>
      <c r="AE7" s="11" t="str">
        <f t="shared" si="1"/>
        <v/>
      </c>
    </row>
    <row r="8" spans="1:31" s="14" customFormat="1" ht="36.5" customHeight="1">
      <c r="A8" s="4" t="s">
        <v>112</v>
      </c>
      <c r="B8" s="4" t="s">
        <v>43</v>
      </c>
      <c r="C8" s="5">
        <v>46219</v>
      </c>
      <c r="D8" s="5">
        <f>IF(E8=0,C8,IF(F8="Working days",WORKDAY(C8,E8-1),C8+E8-1))</f>
        <v>46225</v>
      </c>
      <c r="E8" s="20">
        <v>7</v>
      </c>
      <c r="F8" s="6" t="s">
        <v>44</v>
      </c>
      <c r="G8" s="4" t="s">
        <v>45</v>
      </c>
      <c r="H8" s="7" t="str">
        <f t="shared" si="0"/>
        <v>■</v>
      </c>
      <c r="I8" s="7" t="str">
        <f t="shared" si="0"/>
        <v>■</v>
      </c>
      <c r="J8" s="7" t="str">
        <f t="shared" si="0"/>
        <v/>
      </c>
      <c r="K8" s="7" t="str">
        <f t="shared" si="0"/>
        <v/>
      </c>
      <c r="L8" s="7" t="str">
        <f t="shared" si="0"/>
        <v/>
      </c>
      <c r="M8" s="7" t="str">
        <f t="shared" si="0"/>
        <v/>
      </c>
      <c r="N8" s="7" t="str">
        <f t="shared" si="0"/>
        <v/>
      </c>
      <c r="O8" s="7" t="str">
        <f t="shared" si="0"/>
        <v/>
      </c>
      <c r="P8" s="7" t="str">
        <f t="shared" si="0"/>
        <v/>
      </c>
      <c r="Q8" s="7" t="str">
        <f t="shared" si="0"/>
        <v/>
      </c>
      <c r="R8" s="7" t="str">
        <f t="shared" si="1"/>
        <v/>
      </c>
      <c r="S8" s="7" t="str">
        <f t="shared" si="1"/>
        <v/>
      </c>
      <c r="T8" s="7" t="str">
        <f t="shared" si="1"/>
        <v/>
      </c>
      <c r="U8" s="7" t="str">
        <f t="shared" si="1"/>
        <v/>
      </c>
      <c r="V8" s="7" t="str">
        <f t="shared" si="1"/>
        <v/>
      </c>
      <c r="W8" s="7" t="str">
        <f t="shared" si="1"/>
        <v/>
      </c>
      <c r="X8" s="7" t="str">
        <f t="shared" si="1"/>
        <v/>
      </c>
      <c r="Y8" s="7" t="str">
        <f t="shared" si="1"/>
        <v/>
      </c>
      <c r="Z8" s="7" t="str">
        <f t="shared" si="1"/>
        <v/>
      </c>
      <c r="AA8" s="7" t="str">
        <f t="shared" si="1"/>
        <v/>
      </c>
      <c r="AB8" s="7" t="str">
        <f t="shared" si="1"/>
        <v/>
      </c>
      <c r="AC8" s="7" t="str">
        <f t="shared" si="1"/>
        <v/>
      </c>
      <c r="AD8" s="7" t="str">
        <f t="shared" si="1"/>
        <v/>
      </c>
      <c r="AE8" s="7" t="str">
        <f t="shared" si="1"/>
        <v/>
      </c>
    </row>
    <row r="9" spans="1:31" s="14" customFormat="1" ht="36.5" customHeight="1">
      <c r="A9" s="42" t="s">
        <v>116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</row>
    <row r="10" spans="1:31" s="14" customFormat="1" ht="36.5" customHeight="1">
      <c r="A10" s="4" t="s">
        <v>48</v>
      </c>
      <c r="B10" s="4" t="s">
        <v>49</v>
      </c>
      <c r="C10" s="5">
        <v>46226</v>
      </c>
      <c r="D10" s="5">
        <f t="shared" ref="D10:D14" si="2">IF(E10=0,C10,IF(F10="Working days",WORKDAY(C10,E10-1),C10+E10-1))</f>
        <v>46232</v>
      </c>
      <c r="E10" s="20">
        <v>5</v>
      </c>
      <c r="F10" s="6" t="s">
        <v>50</v>
      </c>
      <c r="G10" s="4" t="s">
        <v>51</v>
      </c>
      <c r="H10" s="7" t="str">
        <f t="shared" ref="H10:Q14" si="3">IF(AND(H$3&lt;=$D10,H$3+6&gt;=$C10),IF($E10=0,"◆","■"),"")</f>
        <v/>
      </c>
      <c r="I10" s="7" t="str">
        <f t="shared" si="3"/>
        <v>■</v>
      </c>
      <c r="J10" s="7" t="str">
        <f t="shared" si="3"/>
        <v>■</v>
      </c>
      <c r="K10" s="7" t="str">
        <f t="shared" si="3"/>
        <v/>
      </c>
      <c r="L10" s="7" t="str">
        <f t="shared" si="3"/>
        <v/>
      </c>
      <c r="M10" s="7" t="str">
        <f t="shared" si="3"/>
        <v/>
      </c>
      <c r="N10" s="7" t="str">
        <f t="shared" si="3"/>
        <v/>
      </c>
      <c r="O10" s="7" t="str">
        <f t="shared" si="3"/>
        <v/>
      </c>
      <c r="P10" s="7" t="str">
        <f t="shared" si="3"/>
        <v/>
      </c>
      <c r="Q10" s="7" t="str">
        <f t="shared" si="3"/>
        <v/>
      </c>
      <c r="R10" s="7" t="str">
        <f t="shared" ref="R10:AE14" si="4">IF(AND(R$3&lt;=$D10,R$3+6&gt;=$C10),IF($E10=0,"◆","■"),"")</f>
        <v/>
      </c>
      <c r="S10" s="7" t="str">
        <f t="shared" si="4"/>
        <v/>
      </c>
      <c r="T10" s="7" t="str">
        <f t="shared" si="4"/>
        <v/>
      </c>
      <c r="U10" s="7" t="str">
        <f t="shared" si="4"/>
        <v/>
      </c>
      <c r="V10" s="7" t="str">
        <f t="shared" si="4"/>
        <v/>
      </c>
      <c r="W10" s="7" t="str">
        <f t="shared" si="4"/>
        <v/>
      </c>
      <c r="X10" s="7" t="str">
        <f t="shared" si="4"/>
        <v/>
      </c>
      <c r="Y10" s="7" t="str">
        <f t="shared" si="4"/>
        <v/>
      </c>
      <c r="Z10" s="7" t="str">
        <f t="shared" si="4"/>
        <v/>
      </c>
      <c r="AA10" s="7" t="str">
        <f t="shared" si="4"/>
        <v/>
      </c>
      <c r="AB10" s="7" t="str">
        <f t="shared" si="4"/>
        <v/>
      </c>
      <c r="AC10" s="7" t="str">
        <f t="shared" si="4"/>
        <v/>
      </c>
      <c r="AD10" s="7" t="str">
        <f t="shared" si="4"/>
        <v/>
      </c>
      <c r="AE10" s="7" t="str">
        <f t="shared" si="4"/>
        <v/>
      </c>
    </row>
    <row r="11" spans="1:31" s="14" customFormat="1" ht="36.5" customHeight="1">
      <c r="A11" s="4" t="s">
        <v>52</v>
      </c>
      <c r="B11" s="4" t="s">
        <v>43</v>
      </c>
      <c r="C11" s="5">
        <v>46233</v>
      </c>
      <c r="D11" s="5">
        <f t="shared" si="2"/>
        <v>46237</v>
      </c>
      <c r="E11" s="20">
        <v>3</v>
      </c>
      <c r="F11" s="6" t="s">
        <v>50</v>
      </c>
      <c r="G11" s="4" t="s">
        <v>53</v>
      </c>
      <c r="H11" s="7" t="str">
        <f t="shared" si="3"/>
        <v/>
      </c>
      <c r="I11" s="7" t="str">
        <f t="shared" si="3"/>
        <v/>
      </c>
      <c r="J11" s="7" t="str">
        <f t="shared" si="3"/>
        <v>■</v>
      </c>
      <c r="K11" s="7" t="str">
        <f t="shared" si="3"/>
        <v/>
      </c>
      <c r="L11" s="7" t="str">
        <f t="shared" si="3"/>
        <v/>
      </c>
      <c r="M11" s="7" t="str">
        <f t="shared" si="3"/>
        <v/>
      </c>
      <c r="N11" s="7" t="str">
        <f t="shared" si="3"/>
        <v/>
      </c>
      <c r="O11" s="7" t="str">
        <f t="shared" si="3"/>
        <v/>
      </c>
      <c r="P11" s="7" t="str">
        <f t="shared" si="3"/>
        <v/>
      </c>
      <c r="Q11" s="7" t="str">
        <f t="shared" si="3"/>
        <v/>
      </c>
      <c r="R11" s="7" t="str">
        <f t="shared" si="4"/>
        <v/>
      </c>
      <c r="S11" s="7" t="str">
        <f t="shared" si="4"/>
        <v/>
      </c>
      <c r="T11" s="7" t="str">
        <f t="shared" si="4"/>
        <v/>
      </c>
      <c r="U11" s="7" t="str">
        <f t="shared" si="4"/>
        <v/>
      </c>
      <c r="V11" s="7" t="str">
        <f t="shared" si="4"/>
        <v/>
      </c>
      <c r="W11" s="7" t="str">
        <f t="shared" si="4"/>
        <v/>
      </c>
      <c r="X11" s="7" t="str">
        <f t="shared" si="4"/>
        <v/>
      </c>
      <c r="Y11" s="7" t="str">
        <f t="shared" si="4"/>
        <v/>
      </c>
      <c r="Z11" s="7" t="str">
        <f t="shared" si="4"/>
        <v/>
      </c>
      <c r="AA11" s="7" t="str">
        <f t="shared" si="4"/>
        <v/>
      </c>
      <c r="AB11" s="7" t="str">
        <f t="shared" si="4"/>
        <v/>
      </c>
      <c r="AC11" s="7" t="str">
        <f t="shared" si="4"/>
        <v/>
      </c>
      <c r="AD11" s="7" t="str">
        <f t="shared" si="4"/>
        <v/>
      </c>
      <c r="AE11" s="7" t="str">
        <f t="shared" si="4"/>
        <v/>
      </c>
    </row>
    <row r="12" spans="1:31" s="14" customFormat="1" ht="36.5" customHeight="1">
      <c r="A12" s="4" t="s">
        <v>120</v>
      </c>
      <c r="B12" s="4" t="s">
        <v>49</v>
      </c>
      <c r="C12" s="5">
        <v>46238</v>
      </c>
      <c r="D12" s="5">
        <f t="shared" si="2"/>
        <v>46244</v>
      </c>
      <c r="E12" s="20">
        <v>5</v>
      </c>
      <c r="F12" s="6" t="s">
        <v>50</v>
      </c>
      <c r="G12" s="4" t="s">
        <v>54</v>
      </c>
      <c r="H12" s="7" t="str">
        <f t="shared" si="3"/>
        <v/>
      </c>
      <c r="I12" s="7" t="str">
        <f t="shared" si="3"/>
        <v/>
      </c>
      <c r="J12" s="7" t="str">
        <f t="shared" si="3"/>
        <v>■</v>
      </c>
      <c r="K12" s="7" t="str">
        <f t="shared" si="3"/>
        <v>■</v>
      </c>
      <c r="L12" s="7" t="str">
        <f t="shared" si="3"/>
        <v/>
      </c>
      <c r="M12" s="7" t="str">
        <f t="shared" si="3"/>
        <v/>
      </c>
      <c r="N12" s="7" t="str">
        <f t="shared" si="3"/>
        <v/>
      </c>
      <c r="O12" s="7" t="str">
        <f t="shared" si="3"/>
        <v/>
      </c>
      <c r="P12" s="7" t="str">
        <f t="shared" si="3"/>
        <v/>
      </c>
      <c r="Q12" s="7" t="str">
        <f t="shared" si="3"/>
        <v/>
      </c>
      <c r="R12" s="7" t="str">
        <f t="shared" si="4"/>
        <v/>
      </c>
      <c r="S12" s="7" t="str">
        <f t="shared" si="4"/>
        <v/>
      </c>
      <c r="T12" s="7" t="str">
        <f t="shared" si="4"/>
        <v/>
      </c>
      <c r="U12" s="7" t="str">
        <f t="shared" si="4"/>
        <v/>
      </c>
      <c r="V12" s="7" t="str">
        <f t="shared" si="4"/>
        <v/>
      </c>
      <c r="W12" s="7" t="str">
        <f t="shared" si="4"/>
        <v/>
      </c>
      <c r="X12" s="7" t="str">
        <f t="shared" si="4"/>
        <v/>
      </c>
      <c r="Y12" s="7" t="str">
        <f t="shared" si="4"/>
        <v/>
      </c>
      <c r="Z12" s="7" t="str">
        <f t="shared" si="4"/>
        <v/>
      </c>
      <c r="AA12" s="7" t="str">
        <f t="shared" si="4"/>
        <v/>
      </c>
      <c r="AB12" s="7" t="str">
        <f t="shared" si="4"/>
        <v/>
      </c>
      <c r="AC12" s="7" t="str">
        <f t="shared" si="4"/>
        <v/>
      </c>
      <c r="AD12" s="7" t="str">
        <f t="shared" si="4"/>
        <v/>
      </c>
      <c r="AE12" s="7" t="str">
        <f t="shared" si="4"/>
        <v/>
      </c>
    </row>
    <row r="13" spans="1:31" s="14" customFormat="1" ht="36.5" customHeight="1">
      <c r="A13" s="4" t="s">
        <v>55</v>
      </c>
      <c r="B13" s="4" t="s">
        <v>43</v>
      </c>
      <c r="C13" s="5">
        <v>46245</v>
      </c>
      <c r="D13" s="5">
        <f t="shared" si="2"/>
        <v>46247</v>
      </c>
      <c r="E13" s="20">
        <v>3</v>
      </c>
      <c r="F13" s="6" t="s">
        <v>50</v>
      </c>
      <c r="G13" s="4" t="s">
        <v>56</v>
      </c>
      <c r="H13" s="7" t="str">
        <f t="shared" si="3"/>
        <v/>
      </c>
      <c r="I13" s="7" t="str">
        <f t="shared" si="3"/>
        <v/>
      </c>
      <c r="J13" s="7" t="str">
        <f t="shared" si="3"/>
        <v/>
      </c>
      <c r="K13" s="7" t="str">
        <f t="shared" si="3"/>
        <v>■</v>
      </c>
      <c r="L13" s="7" t="str">
        <f t="shared" si="3"/>
        <v>■</v>
      </c>
      <c r="M13" s="7" t="str">
        <f t="shared" si="3"/>
        <v/>
      </c>
      <c r="N13" s="7" t="str">
        <f t="shared" si="3"/>
        <v/>
      </c>
      <c r="O13" s="7" t="str">
        <f t="shared" si="3"/>
        <v/>
      </c>
      <c r="P13" s="7" t="str">
        <f t="shared" si="3"/>
        <v/>
      </c>
      <c r="Q13" s="7" t="str">
        <f t="shared" si="3"/>
        <v/>
      </c>
      <c r="R13" s="7" t="str">
        <f t="shared" si="4"/>
        <v/>
      </c>
      <c r="S13" s="7" t="str">
        <f t="shared" si="4"/>
        <v/>
      </c>
      <c r="T13" s="7" t="str">
        <f t="shared" si="4"/>
        <v/>
      </c>
      <c r="U13" s="7" t="str">
        <f t="shared" si="4"/>
        <v/>
      </c>
      <c r="V13" s="7" t="str">
        <f t="shared" si="4"/>
        <v/>
      </c>
      <c r="W13" s="7" t="str">
        <f t="shared" si="4"/>
        <v/>
      </c>
      <c r="X13" s="7" t="str">
        <f t="shared" si="4"/>
        <v/>
      </c>
      <c r="Y13" s="7" t="str">
        <f t="shared" si="4"/>
        <v/>
      </c>
      <c r="Z13" s="7" t="str">
        <f t="shared" si="4"/>
        <v/>
      </c>
      <c r="AA13" s="7" t="str">
        <f t="shared" si="4"/>
        <v/>
      </c>
      <c r="AB13" s="7" t="str">
        <f t="shared" si="4"/>
        <v/>
      </c>
      <c r="AC13" s="7" t="str">
        <f t="shared" si="4"/>
        <v/>
      </c>
      <c r="AD13" s="7" t="str">
        <f t="shared" si="4"/>
        <v/>
      </c>
      <c r="AE13" s="7" t="str">
        <f t="shared" si="4"/>
        <v/>
      </c>
    </row>
    <row r="14" spans="1:31" s="14" customFormat="1" ht="36.5" customHeight="1">
      <c r="A14" s="4" t="s">
        <v>57</v>
      </c>
      <c r="B14" s="4" t="s">
        <v>47</v>
      </c>
      <c r="C14" s="5">
        <v>46248</v>
      </c>
      <c r="D14" s="52">
        <f t="shared" si="2"/>
        <v>46253</v>
      </c>
      <c r="E14" s="20">
        <v>4</v>
      </c>
      <c r="F14" s="6" t="s">
        <v>50</v>
      </c>
      <c r="G14" s="4" t="s">
        <v>58</v>
      </c>
      <c r="H14" s="7" t="str">
        <f t="shared" si="3"/>
        <v/>
      </c>
      <c r="I14" s="7" t="str">
        <f t="shared" si="3"/>
        <v/>
      </c>
      <c r="J14" s="7" t="str">
        <f t="shared" si="3"/>
        <v/>
      </c>
      <c r="K14" s="7" t="str">
        <f t="shared" si="3"/>
        <v/>
      </c>
      <c r="L14" s="7" t="str">
        <f t="shared" si="3"/>
        <v>■</v>
      </c>
      <c r="M14" s="7" t="str">
        <f t="shared" si="3"/>
        <v>■</v>
      </c>
      <c r="N14" s="7" t="str">
        <f t="shared" si="3"/>
        <v/>
      </c>
      <c r="O14" s="7" t="str">
        <f t="shared" si="3"/>
        <v/>
      </c>
      <c r="P14" s="7" t="str">
        <f t="shared" si="3"/>
        <v/>
      </c>
      <c r="Q14" s="7" t="str">
        <f t="shared" si="3"/>
        <v/>
      </c>
      <c r="R14" s="7" t="str">
        <f t="shared" si="4"/>
        <v/>
      </c>
      <c r="S14" s="7" t="str">
        <f t="shared" si="4"/>
        <v/>
      </c>
      <c r="T14" s="7" t="str">
        <f t="shared" si="4"/>
        <v/>
      </c>
      <c r="U14" s="7" t="str">
        <f t="shared" si="4"/>
        <v/>
      </c>
      <c r="V14" s="7" t="str">
        <f t="shared" si="4"/>
        <v/>
      </c>
      <c r="W14" s="7" t="str">
        <f t="shared" si="4"/>
        <v/>
      </c>
      <c r="X14" s="7" t="str">
        <f t="shared" si="4"/>
        <v/>
      </c>
      <c r="Y14" s="7" t="str">
        <f t="shared" si="4"/>
        <v/>
      </c>
      <c r="Z14" s="7" t="str">
        <f t="shared" si="4"/>
        <v/>
      </c>
      <c r="AA14" s="7" t="str">
        <f t="shared" si="4"/>
        <v/>
      </c>
      <c r="AB14" s="7" t="str">
        <f t="shared" si="4"/>
        <v/>
      </c>
      <c r="AC14" s="7" t="str">
        <f t="shared" si="4"/>
        <v/>
      </c>
      <c r="AD14" s="7" t="str">
        <f t="shared" si="4"/>
        <v/>
      </c>
      <c r="AE14" s="7" t="str">
        <f t="shared" si="4"/>
        <v/>
      </c>
    </row>
    <row r="15" spans="1:31" s="14" customFormat="1" ht="36.5" customHeight="1">
      <c r="A15" s="42" t="s">
        <v>59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</row>
    <row r="16" spans="1:31" s="14" customFormat="1" ht="36.5" customHeight="1">
      <c r="A16" s="9" t="s">
        <v>60</v>
      </c>
      <c r="B16" s="9" t="s">
        <v>61</v>
      </c>
      <c r="C16" s="10">
        <v>46233</v>
      </c>
      <c r="D16" s="10">
        <f t="shared" ref="D16:D22" si="5">IF(E16=0,C16,IF(F16="Working days",WORKDAY(C16,E16-1),C16+E16-1))</f>
        <v>46233</v>
      </c>
      <c r="E16" s="19">
        <v>0</v>
      </c>
      <c r="F16" s="9" t="s">
        <v>41</v>
      </c>
      <c r="G16" s="9" t="s">
        <v>62</v>
      </c>
      <c r="H16" s="11" t="str">
        <f t="shared" ref="H16:Q22" si="6">IF(AND(H$3&lt;=$D16,H$3+6&gt;=$C16),IF($E16=0,"◆","■"),"")</f>
        <v/>
      </c>
      <c r="I16" s="11" t="str">
        <f t="shared" si="6"/>
        <v/>
      </c>
      <c r="J16" s="11" t="str">
        <f t="shared" si="6"/>
        <v>◆</v>
      </c>
      <c r="K16" s="11" t="str">
        <f t="shared" si="6"/>
        <v/>
      </c>
      <c r="L16" s="11" t="str">
        <f t="shared" si="6"/>
        <v/>
      </c>
      <c r="M16" s="11" t="str">
        <f t="shared" si="6"/>
        <v/>
      </c>
      <c r="N16" s="11" t="str">
        <f t="shared" si="6"/>
        <v/>
      </c>
      <c r="O16" s="11" t="str">
        <f t="shared" si="6"/>
        <v/>
      </c>
      <c r="P16" s="11" t="str">
        <f t="shared" si="6"/>
        <v/>
      </c>
      <c r="Q16" s="11" t="str">
        <f t="shared" si="6"/>
        <v/>
      </c>
      <c r="R16" s="11" t="str">
        <f t="shared" ref="R16:AE22" si="7">IF(AND(R$3&lt;=$D16,R$3+6&gt;=$C16),IF($E16=0,"◆","■"),"")</f>
        <v/>
      </c>
      <c r="S16" s="11" t="str">
        <f t="shared" si="7"/>
        <v/>
      </c>
      <c r="T16" s="11" t="str">
        <f t="shared" si="7"/>
        <v/>
      </c>
      <c r="U16" s="11" t="str">
        <f t="shared" si="7"/>
        <v/>
      </c>
      <c r="V16" s="11" t="str">
        <f t="shared" si="7"/>
        <v/>
      </c>
      <c r="W16" s="11" t="str">
        <f t="shared" si="7"/>
        <v/>
      </c>
      <c r="X16" s="11" t="str">
        <f t="shared" si="7"/>
        <v/>
      </c>
      <c r="Y16" s="11" t="str">
        <f t="shared" si="7"/>
        <v/>
      </c>
      <c r="Z16" s="11" t="str">
        <f t="shared" si="7"/>
        <v/>
      </c>
      <c r="AA16" s="11" t="str">
        <f t="shared" si="7"/>
        <v/>
      </c>
      <c r="AB16" s="11" t="str">
        <f t="shared" si="7"/>
        <v/>
      </c>
      <c r="AC16" s="11" t="str">
        <f t="shared" si="7"/>
        <v/>
      </c>
      <c r="AD16" s="11" t="str">
        <f t="shared" si="7"/>
        <v/>
      </c>
      <c r="AE16" s="11" t="str">
        <f t="shared" si="7"/>
        <v/>
      </c>
    </row>
    <row r="17" spans="1:31" s="14" customFormat="1" ht="36.5" customHeight="1">
      <c r="A17" s="4" t="s">
        <v>63</v>
      </c>
      <c r="B17" s="4" t="s">
        <v>43</v>
      </c>
      <c r="C17" s="5">
        <v>46225</v>
      </c>
      <c r="D17" s="5">
        <f t="shared" si="5"/>
        <v>46227</v>
      </c>
      <c r="E17" s="20">
        <v>3</v>
      </c>
      <c r="F17" s="6" t="s">
        <v>44</v>
      </c>
      <c r="G17" s="4" t="s">
        <v>113</v>
      </c>
      <c r="H17" s="7" t="str">
        <f t="shared" si="6"/>
        <v/>
      </c>
      <c r="I17" s="7" t="str">
        <f t="shared" si="6"/>
        <v>■</v>
      </c>
      <c r="J17" s="7" t="str">
        <f t="shared" si="6"/>
        <v/>
      </c>
      <c r="K17" s="7" t="str">
        <f t="shared" si="6"/>
        <v/>
      </c>
      <c r="L17" s="7" t="str">
        <f t="shared" si="6"/>
        <v/>
      </c>
      <c r="M17" s="7" t="str">
        <f t="shared" si="6"/>
        <v/>
      </c>
      <c r="N17" s="7" t="str">
        <f t="shared" si="6"/>
        <v/>
      </c>
      <c r="O17" s="7" t="str">
        <f t="shared" si="6"/>
        <v/>
      </c>
      <c r="P17" s="7" t="str">
        <f t="shared" si="6"/>
        <v/>
      </c>
      <c r="Q17" s="7" t="str">
        <f t="shared" si="6"/>
        <v/>
      </c>
      <c r="R17" s="7" t="str">
        <f t="shared" si="7"/>
        <v/>
      </c>
      <c r="S17" s="7" t="str">
        <f t="shared" si="7"/>
        <v/>
      </c>
      <c r="T17" s="7" t="str">
        <f t="shared" si="7"/>
        <v/>
      </c>
      <c r="U17" s="7" t="str">
        <f t="shared" si="7"/>
        <v/>
      </c>
      <c r="V17" s="7" t="str">
        <f t="shared" si="7"/>
        <v/>
      </c>
      <c r="W17" s="7" t="str">
        <f t="shared" si="7"/>
        <v/>
      </c>
      <c r="X17" s="7" t="str">
        <f t="shared" si="7"/>
        <v/>
      </c>
      <c r="Y17" s="7" t="str">
        <f t="shared" si="7"/>
        <v/>
      </c>
      <c r="Z17" s="7" t="str">
        <f t="shared" si="7"/>
        <v/>
      </c>
      <c r="AA17" s="7" t="str">
        <f t="shared" si="7"/>
        <v/>
      </c>
      <c r="AB17" s="7" t="str">
        <f t="shared" si="7"/>
        <v/>
      </c>
      <c r="AC17" s="7" t="str">
        <f t="shared" si="7"/>
        <v/>
      </c>
      <c r="AD17" s="7" t="str">
        <f t="shared" si="7"/>
        <v/>
      </c>
      <c r="AE17" s="7" t="str">
        <f t="shared" si="7"/>
        <v/>
      </c>
    </row>
    <row r="18" spans="1:31" s="14" customFormat="1" ht="36.5" customHeight="1">
      <c r="A18" s="4" t="s">
        <v>64</v>
      </c>
      <c r="B18" s="4" t="s">
        <v>43</v>
      </c>
      <c r="C18" s="5">
        <v>46226</v>
      </c>
      <c r="D18" s="5">
        <f t="shared" si="5"/>
        <v>46231</v>
      </c>
      <c r="E18" s="20">
        <v>4</v>
      </c>
      <c r="F18" s="6" t="s">
        <v>50</v>
      </c>
      <c r="G18" s="4" t="s">
        <v>65</v>
      </c>
      <c r="H18" s="7" t="str">
        <f t="shared" si="6"/>
        <v/>
      </c>
      <c r="I18" s="7" t="str">
        <f t="shared" si="6"/>
        <v>■</v>
      </c>
      <c r="J18" s="7" t="str">
        <f t="shared" si="6"/>
        <v/>
      </c>
      <c r="K18" s="7" t="str">
        <f t="shared" si="6"/>
        <v/>
      </c>
      <c r="L18" s="7" t="str">
        <f t="shared" si="6"/>
        <v/>
      </c>
      <c r="M18" s="7" t="str">
        <f t="shared" si="6"/>
        <v/>
      </c>
      <c r="N18" s="7" t="str">
        <f t="shared" si="6"/>
        <v/>
      </c>
      <c r="O18" s="7" t="str">
        <f t="shared" si="6"/>
        <v/>
      </c>
      <c r="P18" s="7" t="str">
        <f t="shared" si="6"/>
        <v/>
      </c>
      <c r="Q18" s="7" t="str">
        <f t="shared" si="6"/>
        <v/>
      </c>
      <c r="R18" s="7" t="str">
        <f t="shared" si="7"/>
        <v/>
      </c>
      <c r="S18" s="7" t="str">
        <f t="shared" si="7"/>
        <v/>
      </c>
      <c r="T18" s="7" t="str">
        <f t="shared" si="7"/>
        <v/>
      </c>
      <c r="U18" s="7" t="str">
        <f t="shared" si="7"/>
        <v/>
      </c>
      <c r="V18" s="7" t="str">
        <f t="shared" si="7"/>
        <v/>
      </c>
      <c r="W18" s="7" t="str">
        <f t="shared" si="7"/>
        <v/>
      </c>
      <c r="X18" s="7" t="str">
        <f t="shared" si="7"/>
        <v/>
      </c>
      <c r="Y18" s="7" t="str">
        <f t="shared" si="7"/>
        <v/>
      </c>
      <c r="Z18" s="7" t="str">
        <f t="shared" si="7"/>
        <v/>
      </c>
      <c r="AA18" s="7" t="str">
        <f t="shared" si="7"/>
        <v/>
      </c>
      <c r="AB18" s="7" t="str">
        <f t="shared" si="7"/>
        <v/>
      </c>
      <c r="AC18" s="7" t="str">
        <f t="shared" si="7"/>
        <v/>
      </c>
      <c r="AD18" s="7" t="str">
        <f t="shared" si="7"/>
        <v/>
      </c>
      <c r="AE18" s="7" t="str">
        <f t="shared" si="7"/>
        <v/>
      </c>
    </row>
    <row r="19" spans="1:31" s="14" customFormat="1" ht="36.5" customHeight="1">
      <c r="A19" s="4" t="s">
        <v>66</v>
      </c>
      <c r="B19" s="4" t="s">
        <v>67</v>
      </c>
      <c r="C19" s="5">
        <v>46226</v>
      </c>
      <c r="D19" s="5">
        <f t="shared" si="5"/>
        <v>46244</v>
      </c>
      <c r="E19" s="20">
        <v>19</v>
      </c>
      <c r="F19" s="6" t="s">
        <v>44</v>
      </c>
      <c r="G19" s="4" t="s">
        <v>68</v>
      </c>
      <c r="H19" s="7" t="str">
        <f t="shared" si="6"/>
        <v/>
      </c>
      <c r="I19" s="7" t="str">
        <f t="shared" si="6"/>
        <v>■</v>
      </c>
      <c r="J19" s="7" t="str">
        <f t="shared" si="6"/>
        <v>■</v>
      </c>
      <c r="K19" s="7" t="str">
        <f t="shared" si="6"/>
        <v>■</v>
      </c>
      <c r="L19" s="7" t="str">
        <f t="shared" si="6"/>
        <v/>
      </c>
      <c r="M19" s="7" t="str">
        <f t="shared" si="6"/>
        <v/>
      </c>
      <c r="N19" s="7" t="str">
        <f t="shared" si="6"/>
        <v/>
      </c>
      <c r="O19" s="7" t="str">
        <f t="shared" si="6"/>
        <v/>
      </c>
      <c r="P19" s="7" t="str">
        <f t="shared" si="6"/>
        <v/>
      </c>
      <c r="Q19" s="7" t="str">
        <f t="shared" si="6"/>
        <v/>
      </c>
      <c r="R19" s="7" t="str">
        <f t="shared" si="7"/>
        <v/>
      </c>
      <c r="S19" s="7" t="str">
        <f t="shared" si="7"/>
        <v/>
      </c>
      <c r="T19" s="7" t="str">
        <f t="shared" si="7"/>
        <v/>
      </c>
      <c r="U19" s="7" t="str">
        <f t="shared" si="7"/>
        <v/>
      </c>
      <c r="V19" s="7" t="str">
        <f t="shared" si="7"/>
        <v/>
      </c>
      <c r="W19" s="7" t="str">
        <f t="shared" si="7"/>
        <v/>
      </c>
      <c r="X19" s="7" t="str">
        <f t="shared" si="7"/>
        <v/>
      </c>
      <c r="Y19" s="7" t="str">
        <f t="shared" si="7"/>
        <v/>
      </c>
      <c r="Z19" s="7" t="str">
        <f t="shared" si="7"/>
        <v/>
      </c>
      <c r="AA19" s="7" t="str">
        <f t="shared" si="7"/>
        <v/>
      </c>
      <c r="AB19" s="7" t="str">
        <f t="shared" si="7"/>
        <v/>
      </c>
      <c r="AC19" s="7" t="str">
        <f t="shared" si="7"/>
        <v/>
      </c>
      <c r="AD19" s="7" t="str">
        <f t="shared" si="7"/>
        <v/>
      </c>
      <c r="AE19" s="7" t="str">
        <f t="shared" si="7"/>
        <v/>
      </c>
    </row>
    <row r="20" spans="1:31" s="14" customFormat="1" ht="36.5" customHeight="1">
      <c r="A20" s="4" t="s">
        <v>114</v>
      </c>
      <c r="B20" s="4" t="s">
        <v>47</v>
      </c>
      <c r="C20" s="5">
        <v>46245</v>
      </c>
      <c r="D20" s="5">
        <f t="shared" si="5"/>
        <v>46251</v>
      </c>
      <c r="E20" s="20">
        <v>5</v>
      </c>
      <c r="F20" s="6" t="s">
        <v>50</v>
      </c>
      <c r="G20" s="4" t="s">
        <v>115</v>
      </c>
      <c r="H20" s="7" t="str">
        <f t="shared" si="6"/>
        <v/>
      </c>
      <c r="I20" s="7" t="str">
        <f t="shared" si="6"/>
        <v/>
      </c>
      <c r="J20" s="7" t="str">
        <f t="shared" si="6"/>
        <v/>
      </c>
      <c r="K20" s="7" t="str">
        <f t="shared" si="6"/>
        <v>■</v>
      </c>
      <c r="L20" s="7" t="str">
        <f t="shared" si="6"/>
        <v>■</v>
      </c>
      <c r="M20" s="7" t="str">
        <f t="shared" si="6"/>
        <v/>
      </c>
      <c r="N20" s="7" t="str">
        <f t="shared" si="6"/>
        <v/>
      </c>
      <c r="O20" s="7" t="str">
        <f t="shared" si="6"/>
        <v/>
      </c>
      <c r="P20" s="7" t="str">
        <f t="shared" si="6"/>
        <v/>
      </c>
      <c r="Q20" s="7" t="str">
        <f t="shared" si="6"/>
        <v/>
      </c>
      <c r="R20" s="7" t="str">
        <f t="shared" si="7"/>
        <v/>
      </c>
      <c r="S20" s="7" t="str">
        <f t="shared" si="7"/>
        <v/>
      </c>
      <c r="T20" s="7" t="str">
        <f t="shared" si="7"/>
        <v/>
      </c>
      <c r="U20" s="7" t="str">
        <f t="shared" si="7"/>
        <v/>
      </c>
      <c r="V20" s="7" t="str">
        <f t="shared" si="7"/>
        <v/>
      </c>
      <c r="W20" s="7" t="str">
        <f t="shared" si="7"/>
        <v/>
      </c>
      <c r="X20" s="7" t="str">
        <f t="shared" si="7"/>
        <v/>
      </c>
      <c r="Y20" s="7" t="str">
        <f t="shared" si="7"/>
        <v/>
      </c>
      <c r="Z20" s="7" t="str">
        <f t="shared" si="7"/>
        <v/>
      </c>
      <c r="AA20" s="7" t="str">
        <f t="shared" si="7"/>
        <v/>
      </c>
      <c r="AB20" s="7" t="str">
        <f t="shared" si="7"/>
        <v/>
      </c>
      <c r="AC20" s="7" t="str">
        <f t="shared" si="7"/>
        <v/>
      </c>
      <c r="AD20" s="7" t="str">
        <f t="shared" si="7"/>
        <v/>
      </c>
      <c r="AE20" s="7" t="str">
        <f t="shared" si="7"/>
        <v/>
      </c>
    </row>
    <row r="21" spans="1:31" s="14" customFormat="1" ht="36.5" customHeight="1">
      <c r="A21" s="4" t="s">
        <v>70</v>
      </c>
      <c r="B21" s="4" t="s">
        <v>67</v>
      </c>
      <c r="C21" s="5">
        <v>46245</v>
      </c>
      <c r="D21" s="5">
        <f t="shared" si="5"/>
        <v>46253</v>
      </c>
      <c r="E21" s="20">
        <v>7</v>
      </c>
      <c r="F21" s="6" t="s">
        <v>50</v>
      </c>
      <c r="G21" s="4" t="s">
        <v>71</v>
      </c>
      <c r="H21" s="7" t="str">
        <f t="shared" si="6"/>
        <v/>
      </c>
      <c r="I21" s="7" t="str">
        <f t="shared" si="6"/>
        <v/>
      </c>
      <c r="J21" s="7" t="str">
        <f t="shared" si="6"/>
        <v/>
      </c>
      <c r="K21" s="7" t="str">
        <f t="shared" si="6"/>
        <v>■</v>
      </c>
      <c r="L21" s="7" t="str">
        <f t="shared" si="6"/>
        <v>■</v>
      </c>
      <c r="M21" s="7" t="str">
        <f t="shared" si="6"/>
        <v>■</v>
      </c>
      <c r="N21" s="7" t="str">
        <f t="shared" si="6"/>
        <v/>
      </c>
      <c r="O21" s="7" t="str">
        <f t="shared" si="6"/>
        <v/>
      </c>
      <c r="P21" s="7" t="str">
        <f t="shared" si="6"/>
        <v/>
      </c>
      <c r="Q21" s="7" t="str">
        <f t="shared" si="6"/>
        <v/>
      </c>
      <c r="R21" s="7" t="str">
        <f t="shared" si="7"/>
        <v/>
      </c>
      <c r="S21" s="7" t="str">
        <f t="shared" si="7"/>
        <v/>
      </c>
      <c r="T21" s="7" t="str">
        <f t="shared" si="7"/>
        <v/>
      </c>
      <c r="U21" s="7" t="str">
        <f t="shared" si="7"/>
        <v/>
      </c>
      <c r="V21" s="7" t="str">
        <f t="shared" si="7"/>
        <v/>
      </c>
      <c r="W21" s="7" t="str">
        <f t="shared" si="7"/>
        <v/>
      </c>
      <c r="X21" s="7" t="str">
        <f t="shared" si="7"/>
        <v/>
      </c>
      <c r="Y21" s="7" t="str">
        <f t="shared" si="7"/>
        <v/>
      </c>
      <c r="Z21" s="7" t="str">
        <f t="shared" si="7"/>
        <v/>
      </c>
      <c r="AA21" s="7" t="str">
        <f t="shared" si="7"/>
        <v/>
      </c>
      <c r="AB21" s="7" t="str">
        <f t="shared" si="7"/>
        <v/>
      </c>
      <c r="AC21" s="7" t="str">
        <f t="shared" si="7"/>
        <v/>
      </c>
      <c r="AD21" s="7" t="str">
        <f t="shared" si="7"/>
        <v/>
      </c>
      <c r="AE21" s="7" t="str">
        <f t="shared" si="7"/>
        <v/>
      </c>
    </row>
    <row r="22" spans="1:31" s="14" customFormat="1" ht="36.5" customHeight="1">
      <c r="A22" s="4" t="s">
        <v>72</v>
      </c>
      <c r="B22" s="4" t="s">
        <v>47</v>
      </c>
      <c r="C22" s="5">
        <v>46254</v>
      </c>
      <c r="D22" s="52">
        <f t="shared" si="5"/>
        <v>46259</v>
      </c>
      <c r="E22" s="20">
        <v>4</v>
      </c>
      <c r="F22" s="6" t="s">
        <v>50</v>
      </c>
      <c r="G22" s="4" t="s">
        <v>73</v>
      </c>
      <c r="H22" s="7" t="str">
        <f t="shared" si="6"/>
        <v/>
      </c>
      <c r="I22" s="7" t="str">
        <f t="shared" si="6"/>
        <v/>
      </c>
      <c r="J22" s="7" t="str">
        <f t="shared" si="6"/>
        <v/>
      </c>
      <c r="K22" s="7" t="str">
        <f t="shared" si="6"/>
        <v/>
      </c>
      <c r="L22" s="7" t="str">
        <f t="shared" si="6"/>
        <v/>
      </c>
      <c r="M22" s="7" t="str">
        <f t="shared" si="6"/>
        <v>■</v>
      </c>
      <c r="N22" s="7" t="str">
        <f t="shared" si="6"/>
        <v/>
      </c>
      <c r="O22" s="7" t="str">
        <f t="shared" si="6"/>
        <v/>
      </c>
      <c r="P22" s="7" t="str">
        <f t="shared" si="6"/>
        <v/>
      </c>
      <c r="Q22" s="7" t="str">
        <f t="shared" si="6"/>
        <v/>
      </c>
      <c r="R22" s="7" t="str">
        <f t="shared" si="7"/>
        <v/>
      </c>
      <c r="S22" s="7" t="str">
        <f t="shared" si="7"/>
        <v/>
      </c>
      <c r="T22" s="7" t="str">
        <f t="shared" si="7"/>
        <v/>
      </c>
      <c r="U22" s="7" t="str">
        <f t="shared" si="7"/>
        <v/>
      </c>
      <c r="V22" s="7" t="str">
        <f t="shared" si="7"/>
        <v/>
      </c>
      <c r="W22" s="7" t="str">
        <f t="shared" si="7"/>
        <v/>
      </c>
      <c r="X22" s="7" t="str">
        <f t="shared" si="7"/>
        <v/>
      </c>
      <c r="Y22" s="7" t="str">
        <f t="shared" si="7"/>
        <v/>
      </c>
      <c r="Z22" s="7" t="str">
        <f t="shared" si="7"/>
        <v/>
      </c>
      <c r="AA22" s="7" t="str">
        <f t="shared" si="7"/>
        <v/>
      </c>
      <c r="AB22" s="7" t="str">
        <f t="shared" si="7"/>
        <v/>
      </c>
      <c r="AC22" s="7" t="str">
        <f t="shared" si="7"/>
        <v/>
      </c>
      <c r="AD22" s="7" t="str">
        <f t="shared" si="7"/>
        <v/>
      </c>
      <c r="AE22" s="7" t="str">
        <f t="shared" si="7"/>
        <v/>
      </c>
    </row>
    <row r="23" spans="1:31" s="14" customFormat="1" ht="36.5" customHeight="1">
      <c r="A23" s="42" t="s">
        <v>117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</row>
    <row r="24" spans="1:31" s="14" customFormat="1" ht="36.5" customHeight="1">
      <c r="A24" s="4" t="s">
        <v>74</v>
      </c>
      <c r="B24" s="4" t="s">
        <v>75</v>
      </c>
      <c r="C24" s="5">
        <v>46254</v>
      </c>
      <c r="D24" s="52">
        <f>IF(E24=0,C24,IF(F24="Working days",WORKDAY(C24,E24-1),C24+E24-1))</f>
        <v>46298</v>
      </c>
      <c r="E24" s="20">
        <v>45</v>
      </c>
      <c r="F24" s="6" t="s">
        <v>44</v>
      </c>
      <c r="G24" s="4"/>
      <c r="H24" s="7" t="str">
        <f t="shared" ref="H24:Q25" si="8">IF(AND(H$3&lt;=$D24,H$3+6&gt;=$C24),IF($E24=0,"◆","■"),"")</f>
        <v/>
      </c>
      <c r="I24" s="7" t="str">
        <f t="shared" si="8"/>
        <v/>
      </c>
      <c r="J24" s="7" t="str">
        <f t="shared" si="8"/>
        <v/>
      </c>
      <c r="K24" s="7" t="str">
        <f t="shared" si="8"/>
        <v/>
      </c>
      <c r="L24" s="7" t="str">
        <f t="shared" si="8"/>
        <v/>
      </c>
      <c r="M24" s="7" t="str">
        <f t="shared" si="8"/>
        <v>■</v>
      </c>
      <c r="N24" s="7" t="str">
        <f t="shared" si="8"/>
        <v>■</v>
      </c>
      <c r="O24" s="7" t="str">
        <f t="shared" si="8"/>
        <v>■</v>
      </c>
      <c r="P24" s="7" t="str">
        <f t="shared" si="8"/>
        <v>■</v>
      </c>
      <c r="Q24" s="7" t="str">
        <f t="shared" si="8"/>
        <v>■</v>
      </c>
      <c r="R24" s="7" t="str">
        <f t="shared" ref="R24:AE25" si="9">IF(AND(R$3&lt;=$D24,R$3+6&gt;=$C24),IF($E24=0,"◆","■"),"")</f>
        <v>■</v>
      </c>
      <c r="S24" s="7" t="str">
        <f t="shared" si="9"/>
        <v>■</v>
      </c>
      <c r="T24" s="7" t="str">
        <f t="shared" si="9"/>
        <v/>
      </c>
      <c r="U24" s="7" t="str">
        <f t="shared" si="9"/>
        <v/>
      </c>
      <c r="V24" s="7" t="str">
        <f t="shared" si="9"/>
        <v/>
      </c>
      <c r="W24" s="7" t="str">
        <f t="shared" si="9"/>
        <v/>
      </c>
      <c r="X24" s="7" t="str">
        <f t="shared" si="9"/>
        <v/>
      </c>
      <c r="Y24" s="7" t="str">
        <f t="shared" si="9"/>
        <v/>
      </c>
      <c r="Z24" s="7" t="str">
        <f t="shared" si="9"/>
        <v/>
      </c>
      <c r="AA24" s="7" t="str">
        <f t="shared" si="9"/>
        <v/>
      </c>
      <c r="AB24" s="7" t="str">
        <f t="shared" si="9"/>
        <v/>
      </c>
      <c r="AC24" s="7" t="str">
        <f t="shared" si="9"/>
        <v/>
      </c>
      <c r="AD24" s="7" t="str">
        <f t="shared" si="9"/>
        <v/>
      </c>
      <c r="AE24" s="7" t="str">
        <f t="shared" si="9"/>
        <v/>
      </c>
    </row>
    <row r="25" spans="1:31" s="14" customFormat="1" ht="36.5" customHeight="1">
      <c r="A25" s="4" t="s">
        <v>76</v>
      </c>
      <c r="B25" s="4" t="s">
        <v>75</v>
      </c>
      <c r="C25" s="5">
        <v>46260</v>
      </c>
      <c r="D25" s="54">
        <f>IF(E25=0,C25,IF(F25="Working days",WORKDAY(C25,E25-1),C25+E25-1))</f>
        <v>46284</v>
      </c>
      <c r="E25" s="20">
        <v>25</v>
      </c>
      <c r="F25" s="6" t="s">
        <v>44</v>
      </c>
      <c r="G25" s="4"/>
      <c r="H25" s="7" t="str">
        <f t="shared" si="8"/>
        <v/>
      </c>
      <c r="I25" s="7" t="str">
        <f t="shared" si="8"/>
        <v/>
      </c>
      <c r="J25" s="7" t="str">
        <f t="shared" si="8"/>
        <v/>
      </c>
      <c r="K25" s="7" t="str">
        <f t="shared" si="8"/>
        <v/>
      </c>
      <c r="L25" s="7" t="str">
        <f t="shared" si="8"/>
        <v/>
      </c>
      <c r="M25" s="7" t="str">
        <f t="shared" si="8"/>
        <v/>
      </c>
      <c r="N25" s="7" t="str">
        <f t="shared" si="8"/>
        <v>■</v>
      </c>
      <c r="O25" s="7" t="str">
        <f t="shared" si="8"/>
        <v>■</v>
      </c>
      <c r="P25" s="7" t="str">
        <f t="shared" si="8"/>
        <v>■</v>
      </c>
      <c r="Q25" s="7" t="str">
        <f t="shared" si="8"/>
        <v>■</v>
      </c>
      <c r="R25" s="7" t="str">
        <f t="shared" si="9"/>
        <v/>
      </c>
      <c r="S25" s="7" t="str">
        <f t="shared" si="9"/>
        <v/>
      </c>
      <c r="T25" s="7" t="str">
        <f t="shared" si="9"/>
        <v/>
      </c>
      <c r="U25" s="7" t="str">
        <f t="shared" si="9"/>
        <v/>
      </c>
      <c r="V25" s="7" t="str">
        <f t="shared" si="9"/>
        <v/>
      </c>
      <c r="W25" s="7" t="str">
        <f t="shared" si="9"/>
        <v/>
      </c>
      <c r="X25" s="7" t="str">
        <f t="shared" si="9"/>
        <v/>
      </c>
      <c r="Y25" s="7" t="str">
        <f t="shared" si="9"/>
        <v/>
      </c>
      <c r="Z25" s="7" t="str">
        <f t="shared" si="9"/>
        <v/>
      </c>
      <c r="AA25" s="7" t="str">
        <f t="shared" si="9"/>
        <v/>
      </c>
      <c r="AB25" s="7" t="str">
        <f t="shared" si="9"/>
        <v/>
      </c>
      <c r="AC25" s="7" t="str">
        <f t="shared" si="9"/>
        <v/>
      </c>
      <c r="AD25" s="7" t="str">
        <f t="shared" si="9"/>
        <v/>
      </c>
      <c r="AE25" s="7" t="str">
        <f t="shared" si="9"/>
        <v/>
      </c>
    </row>
    <row r="26" spans="1:31" s="14" customFormat="1" ht="36.5" customHeight="1">
      <c r="A26" s="42" t="s">
        <v>77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</row>
    <row r="27" spans="1:31" s="14" customFormat="1" ht="36.5" customHeight="1">
      <c r="A27" s="9" t="s">
        <v>78</v>
      </c>
      <c r="B27" s="9" t="s">
        <v>79</v>
      </c>
      <c r="C27" s="10">
        <v>46299</v>
      </c>
      <c r="D27" s="10">
        <f>IF(E27=0,C27,IF(F27="Working days",WORKDAY(C27,E27-1),C27+E27-1))</f>
        <v>46299</v>
      </c>
      <c r="E27" s="19">
        <v>0</v>
      </c>
      <c r="F27" s="9" t="s">
        <v>41</v>
      </c>
      <c r="G27" s="9" t="s">
        <v>80</v>
      </c>
      <c r="H27" s="11" t="str">
        <f t="shared" ref="H27:Q29" si="10">IF(AND(H$3&lt;=$D27,H$3+6&gt;=$C27),IF($E27=0,"◆","■"),"")</f>
        <v/>
      </c>
      <c r="I27" s="11" t="str">
        <f t="shared" si="10"/>
        <v/>
      </c>
      <c r="J27" s="11" t="str">
        <f t="shared" si="10"/>
        <v/>
      </c>
      <c r="K27" s="11" t="str">
        <f t="shared" si="10"/>
        <v/>
      </c>
      <c r="L27" s="11" t="str">
        <f t="shared" si="10"/>
        <v/>
      </c>
      <c r="M27" s="11" t="str">
        <f t="shared" si="10"/>
        <v/>
      </c>
      <c r="N27" s="11" t="str">
        <f t="shared" si="10"/>
        <v/>
      </c>
      <c r="O27" s="11" t="str">
        <f t="shared" si="10"/>
        <v/>
      </c>
      <c r="P27" s="11" t="str">
        <f t="shared" si="10"/>
        <v/>
      </c>
      <c r="Q27" s="11" t="str">
        <f t="shared" si="10"/>
        <v/>
      </c>
      <c r="R27" s="11" t="str">
        <f t="shared" ref="R27:AE29" si="11">IF(AND(R$3&lt;=$D27,R$3+6&gt;=$C27),IF($E27=0,"◆","■"),"")</f>
        <v/>
      </c>
      <c r="S27" s="11" t="str">
        <f t="shared" si="11"/>
        <v>◆</v>
      </c>
      <c r="T27" s="11" t="str">
        <f t="shared" si="11"/>
        <v/>
      </c>
      <c r="U27" s="11" t="str">
        <f t="shared" si="11"/>
        <v/>
      </c>
      <c r="V27" s="11" t="str">
        <f t="shared" si="11"/>
        <v/>
      </c>
      <c r="W27" s="11" t="str">
        <f t="shared" si="11"/>
        <v/>
      </c>
      <c r="X27" s="11" t="str">
        <f t="shared" si="11"/>
        <v/>
      </c>
      <c r="Y27" s="11" t="str">
        <f t="shared" si="11"/>
        <v/>
      </c>
      <c r="Z27" s="11" t="str">
        <f t="shared" si="11"/>
        <v/>
      </c>
      <c r="AA27" s="11" t="str">
        <f t="shared" si="11"/>
        <v/>
      </c>
      <c r="AB27" s="11" t="str">
        <f t="shared" si="11"/>
        <v/>
      </c>
      <c r="AC27" s="11" t="str">
        <f t="shared" si="11"/>
        <v/>
      </c>
      <c r="AD27" s="11" t="str">
        <f t="shared" si="11"/>
        <v/>
      </c>
      <c r="AE27" s="11" t="str">
        <f t="shared" si="11"/>
        <v/>
      </c>
    </row>
    <row r="28" spans="1:31" s="14" customFormat="1" ht="36.5" customHeight="1">
      <c r="A28" s="4" t="s">
        <v>81</v>
      </c>
      <c r="B28" s="4" t="s">
        <v>82</v>
      </c>
      <c r="C28" s="5">
        <v>46299</v>
      </c>
      <c r="D28" s="5">
        <f>IF(E28=0,C28,IF(F28="Working days",WORKDAY(C28,E28-1),C28+E28-1))</f>
        <v>46338</v>
      </c>
      <c r="E28" s="20">
        <v>40</v>
      </c>
      <c r="F28" s="6" t="s">
        <v>44</v>
      </c>
      <c r="G28" s="4" t="s">
        <v>125</v>
      </c>
      <c r="H28" s="7" t="str">
        <f t="shared" si="10"/>
        <v/>
      </c>
      <c r="I28" s="7" t="str">
        <f t="shared" si="10"/>
        <v/>
      </c>
      <c r="J28" s="7" t="str">
        <f t="shared" si="10"/>
        <v/>
      </c>
      <c r="K28" s="7" t="str">
        <f t="shared" si="10"/>
        <v/>
      </c>
      <c r="L28" s="7" t="str">
        <f t="shared" si="10"/>
        <v/>
      </c>
      <c r="M28" s="7" t="str">
        <f t="shared" si="10"/>
        <v/>
      </c>
      <c r="N28" s="7" t="str">
        <f t="shared" si="10"/>
        <v/>
      </c>
      <c r="O28" s="7" t="str">
        <f t="shared" si="10"/>
        <v/>
      </c>
      <c r="P28" s="7" t="str">
        <f t="shared" si="10"/>
        <v/>
      </c>
      <c r="Q28" s="7" t="str">
        <f t="shared" si="10"/>
        <v/>
      </c>
      <c r="R28" s="7" t="str">
        <f t="shared" si="11"/>
        <v/>
      </c>
      <c r="S28" s="7" t="str">
        <f t="shared" si="11"/>
        <v>■</v>
      </c>
      <c r="T28" s="7" t="str">
        <f t="shared" si="11"/>
        <v>■</v>
      </c>
      <c r="U28" s="7" t="str">
        <f t="shared" si="11"/>
        <v>■</v>
      </c>
      <c r="V28" s="7" t="str">
        <f t="shared" si="11"/>
        <v>■</v>
      </c>
      <c r="W28" s="7" t="str">
        <f t="shared" si="11"/>
        <v>■</v>
      </c>
      <c r="X28" s="7" t="str">
        <f t="shared" si="11"/>
        <v>■</v>
      </c>
      <c r="Y28" s="7" t="str">
        <f t="shared" si="11"/>
        <v>■</v>
      </c>
      <c r="Z28" s="7" t="str">
        <f t="shared" si="11"/>
        <v/>
      </c>
      <c r="AA28" s="7" t="str">
        <f t="shared" si="11"/>
        <v/>
      </c>
      <c r="AB28" s="7" t="str">
        <f t="shared" si="11"/>
        <v/>
      </c>
      <c r="AC28" s="7" t="str">
        <f t="shared" si="11"/>
        <v/>
      </c>
      <c r="AD28" s="7" t="str">
        <f t="shared" si="11"/>
        <v/>
      </c>
      <c r="AE28" s="7" t="str">
        <f t="shared" si="11"/>
        <v/>
      </c>
    </row>
    <row r="29" spans="1:31" s="14" customFormat="1" ht="36.5" customHeight="1">
      <c r="A29" s="9" t="s">
        <v>83</v>
      </c>
      <c r="B29" s="9" t="s">
        <v>84</v>
      </c>
      <c r="C29" s="10">
        <v>46338</v>
      </c>
      <c r="D29" s="55">
        <f>IF(E29=0,C29,IF(F29="Working days",WORKDAY(C29,E29-1),C29+E29-1))</f>
        <v>46342</v>
      </c>
      <c r="E29" s="19">
        <v>5</v>
      </c>
      <c r="F29" s="9" t="s">
        <v>41</v>
      </c>
      <c r="G29" s="9"/>
      <c r="H29" s="11" t="str">
        <f t="shared" si="10"/>
        <v/>
      </c>
      <c r="I29" s="11" t="str">
        <f t="shared" si="10"/>
        <v/>
      </c>
      <c r="J29" s="11" t="str">
        <f t="shared" si="10"/>
        <v/>
      </c>
      <c r="K29" s="11" t="str">
        <f t="shared" si="10"/>
        <v/>
      </c>
      <c r="L29" s="11" t="str">
        <f t="shared" si="10"/>
        <v/>
      </c>
      <c r="M29" s="11" t="str">
        <f t="shared" si="10"/>
        <v/>
      </c>
      <c r="N29" s="11" t="str">
        <f t="shared" si="10"/>
        <v/>
      </c>
      <c r="O29" s="11" t="str">
        <f t="shared" si="10"/>
        <v/>
      </c>
      <c r="P29" s="11" t="str">
        <f t="shared" si="10"/>
        <v/>
      </c>
      <c r="Q29" s="11" t="str">
        <f t="shared" si="10"/>
        <v/>
      </c>
      <c r="R29" s="11" t="str">
        <f t="shared" si="11"/>
        <v/>
      </c>
      <c r="S29" s="11" t="str">
        <f t="shared" si="11"/>
        <v/>
      </c>
      <c r="T29" s="11" t="str">
        <f t="shared" si="11"/>
        <v/>
      </c>
      <c r="U29" s="11" t="str">
        <f t="shared" si="11"/>
        <v/>
      </c>
      <c r="V29" s="11" t="str">
        <f t="shared" si="11"/>
        <v/>
      </c>
      <c r="W29" s="11" t="str">
        <f t="shared" si="11"/>
        <v/>
      </c>
      <c r="X29" s="11" t="str">
        <f t="shared" si="11"/>
        <v/>
      </c>
      <c r="Y29" s="11" t="str">
        <f t="shared" si="11"/>
        <v>■</v>
      </c>
      <c r="Z29" s="11" t="str">
        <f t="shared" si="11"/>
        <v/>
      </c>
      <c r="AA29" s="11" t="str">
        <f t="shared" si="11"/>
        <v/>
      </c>
      <c r="AB29" s="11" t="str">
        <f t="shared" si="11"/>
        <v/>
      </c>
      <c r="AC29" s="11" t="str">
        <f t="shared" si="11"/>
        <v/>
      </c>
      <c r="AD29" s="11" t="str">
        <f t="shared" si="11"/>
        <v/>
      </c>
      <c r="AE29" s="11" t="str">
        <f t="shared" si="11"/>
        <v/>
      </c>
    </row>
    <row r="30" spans="1:31" s="14" customFormat="1" ht="36.5" customHeight="1">
      <c r="A30" s="42" t="s">
        <v>85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</row>
    <row r="31" spans="1:31" s="14" customFormat="1" ht="36.5" customHeight="1">
      <c r="A31" s="4" t="s">
        <v>86</v>
      </c>
      <c r="B31" s="4" t="s">
        <v>87</v>
      </c>
      <c r="C31" s="5">
        <v>46342</v>
      </c>
      <c r="D31" s="56">
        <f>IF(E31=0,C31,IF(F31="Working days",WORKDAY(C31,E31-1),C31+E31-1))</f>
        <v>46356</v>
      </c>
      <c r="E31" s="20">
        <v>15</v>
      </c>
      <c r="F31" s="6" t="s">
        <v>44</v>
      </c>
      <c r="G31" s="4" t="s">
        <v>88</v>
      </c>
      <c r="H31" s="7" t="str">
        <f t="shared" ref="H31:Q33" si="12">IF(AND(H$3&lt;=$D31,H$3+6&gt;=$C31),IF($E31=0,"◆","■"),"")</f>
        <v/>
      </c>
      <c r="I31" s="7" t="str">
        <f t="shared" si="12"/>
        <v/>
      </c>
      <c r="J31" s="7" t="str">
        <f t="shared" si="12"/>
        <v/>
      </c>
      <c r="K31" s="7" t="str">
        <f t="shared" si="12"/>
        <v/>
      </c>
      <c r="L31" s="7" t="str">
        <f t="shared" si="12"/>
        <v/>
      </c>
      <c r="M31" s="7" t="str">
        <f t="shared" si="12"/>
        <v/>
      </c>
      <c r="N31" s="7" t="str">
        <f t="shared" si="12"/>
        <v/>
      </c>
      <c r="O31" s="7" t="str">
        <f t="shared" si="12"/>
        <v/>
      </c>
      <c r="P31" s="7" t="str">
        <f t="shared" si="12"/>
        <v/>
      </c>
      <c r="Q31" s="7" t="str">
        <f t="shared" si="12"/>
        <v/>
      </c>
      <c r="R31" s="7" t="str">
        <f t="shared" ref="R31:AE33" si="13">IF(AND(R$3&lt;=$D31,R$3+6&gt;=$C31),IF($E31=0,"◆","■"),"")</f>
        <v/>
      </c>
      <c r="S31" s="7" t="str">
        <f t="shared" si="13"/>
        <v/>
      </c>
      <c r="T31" s="7" t="str">
        <f t="shared" si="13"/>
        <v/>
      </c>
      <c r="U31" s="7" t="str">
        <f t="shared" si="13"/>
        <v/>
      </c>
      <c r="V31" s="7" t="str">
        <f t="shared" si="13"/>
        <v/>
      </c>
      <c r="W31" s="7" t="str">
        <f t="shared" si="13"/>
        <v/>
      </c>
      <c r="X31" s="7" t="str">
        <f t="shared" si="13"/>
        <v/>
      </c>
      <c r="Y31" s="7" t="str">
        <f t="shared" si="13"/>
        <v>■</v>
      </c>
      <c r="Z31" s="7" t="str">
        <f t="shared" si="13"/>
        <v>■</v>
      </c>
      <c r="AA31" s="7" t="str">
        <f t="shared" si="13"/>
        <v>■</v>
      </c>
      <c r="AB31" s="7" t="str">
        <f t="shared" si="13"/>
        <v/>
      </c>
      <c r="AC31" s="7" t="str">
        <f t="shared" si="13"/>
        <v/>
      </c>
      <c r="AD31" s="7" t="str">
        <f t="shared" si="13"/>
        <v/>
      </c>
      <c r="AE31" s="7" t="str">
        <f t="shared" si="13"/>
        <v/>
      </c>
    </row>
    <row r="32" spans="1:31" s="14" customFormat="1" ht="36.5" customHeight="1">
      <c r="A32" s="4" t="s">
        <v>89</v>
      </c>
      <c r="B32" s="4" t="s">
        <v>87</v>
      </c>
      <c r="C32" s="5">
        <v>46354</v>
      </c>
      <c r="D32" s="5">
        <f>IF(E32=0,C32,IF(F32="Working days",WORKDAY(C32,E32-1),C32+E32-1))</f>
        <v>46355</v>
      </c>
      <c r="E32" s="20">
        <v>2</v>
      </c>
      <c r="F32" s="6" t="s">
        <v>44</v>
      </c>
      <c r="G32" s="4" t="s">
        <v>90</v>
      </c>
      <c r="H32" s="7" t="str">
        <f t="shared" si="12"/>
        <v/>
      </c>
      <c r="I32" s="7" t="str">
        <f t="shared" si="12"/>
        <v/>
      </c>
      <c r="J32" s="7" t="str">
        <f t="shared" si="12"/>
        <v/>
      </c>
      <c r="K32" s="7" t="str">
        <f t="shared" si="12"/>
        <v/>
      </c>
      <c r="L32" s="7" t="str">
        <f t="shared" si="12"/>
        <v/>
      </c>
      <c r="M32" s="7" t="str">
        <f t="shared" si="12"/>
        <v/>
      </c>
      <c r="N32" s="7" t="str">
        <f t="shared" si="12"/>
        <v/>
      </c>
      <c r="O32" s="7" t="str">
        <f t="shared" si="12"/>
        <v/>
      </c>
      <c r="P32" s="7" t="str">
        <f t="shared" si="12"/>
        <v/>
      </c>
      <c r="Q32" s="7" t="str">
        <f t="shared" si="12"/>
        <v/>
      </c>
      <c r="R32" s="7" t="str">
        <f t="shared" si="13"/>
        <v/>
      </c>
      <c r="S32" s="7" t="str">
        <f t="shared" si="13"/>
        <v/>
      </c>
      <c r="T32" s="7" t="str">
        <f t="shared" si="13"/>
        <v/>
      </c>
      <c r="U32" s="7" t="str">
        <f t="shared" si="13"/>
        <v/>
      </c>
      <c r="V32" s="7" t="str">
        <f t="shared" si="13"/>
        <v/>
      </c>
      <c r="W32" s="7" t="str">
        <f t="shared" si="13"/>
        <v/>
      </c>
      <c r="X32" s="7" t="str">
        <f t="shared" si="13"/>
        <v/>
      </c>
      <c r="Y32" s="7" t="str">
        <f t="shared" si="13"/>
        <v/>
      </c>
      <c r="Z32" s="7" t="str">
        <f t="shared" si="13"/>
        <v/>
      </c>
      <c r="AA32" s="7" t="str">
        <f t="shared" si="13"/>
        <v>■</v>
      </c>
      <c r="AB32" s="7" t="str">
        <f t="shared" si="13"/>
        <v/>
      </c>
      <c r="AC32" s="7" t="str">
        <f t="shared" si="13"/>
        <v/>
      </c>
      <c r="AD32" s="7" t="str">
        <f t="shared" si="13"/>
        <v/>
      </c>
      <c r="AE32" s="7" t="str">
        <f t="shared" si="13"/>
        <v/>
      </c>
    </row>
    <row r="33" spans="1:31" s="14" customFormat="1" ht="36.5" customHeight="1">
      <c r="A33" s="9" t="s">
        <v>91</v>
      </c>
      <c r="B33" s="9" t="s">
        <v>92</v>
      </c>
      <c r="C33" s="10">
        <v>46356</v>
      </c>
      <c r="D33" s="55">
        <f>IF(E33=0,C33,IF(F33="Working days",WORKDAY(C33,E33-1),C33+E33-1))</f>
        <v>46356</v>
      </c>
      <c r="E33" s="19"/>
      <c r="F33" s="9" t="s">
        <v>41</v>
      </c>
      <c r="G33" s="9"/>
      <c r="H33" s="11" t="str">
        <f t="shared" si="12"/>
        <v/>
      </c>
      <c r="I33" s="11" t="str">
        <f t="shared" si="12"/>
        <v/>
      </c>
      <c r="J33" s="11" t="str">
        <f t="shared" si="12"/>
        <v/>
      </c>
      <c r="K33" s="11" t="str">
        <f t="shared" si="12"/>
        <v/>
      </c>
      <c r="L33" s="11" t="str">
        <f t="shared" si="12"/>
        <v/>
      </c>
      <c r="M33" s="11" t="str">
        <f t="shared" si="12"/>
        <v/>
      </c>
      <c r="N33" s="11" t="str">
        <f t="shared" si="12"/>
        <v/>
      </c>
      <c r="O33" s="11" t="str">
        <f t="shared" si="12"/>
        <v/>
      </c>
      <c r="P33" s="11" t="str">
        <f t="shared" si="12"/>
        <v/>
      </c>
      <c r="Q33" s="11" t="str">
        <f t="shared" si="12"/>
        <v/>
      </c>
      <c r="R33" s="11" t="str">
        <f t="shared" si="13"/>
        <v/>
      </c>
      <c r="S33" s="11" t="str">
        <f t="shared" si="13"/>
        <v/>
      </c>
      <c r="T33" s="11" t="str">
        <f t="shared" si="13"/>
        <v/>
      </c>
      <c r="U33" s="11" t="str">
        <f t="shared" si="13"/>
        <v/>
      </c>
      <c r="V33" s="11" t="str">
        <f t="shared" si="13"/>
        <v/>
      </c>
      <c r="W33" s="11" t="str">
        <f t="shared" si="13"/>
        <v/>
      </c>
      <c r="X33" s="11" t="str">
        <f t="shared" si="13"/>
        <v/>
      </c>
      <c r="Y33" s="11" t="str">
        <f t="shared" si="13"/>
        <v/>
      </c>
      <c r="Z33" s="11" t="str">
        <f t="shared" si="13"/>
        <v/>
      </c>
      <c r="AA33" s="11" t="str">
        <f t="shared" si="13"/>
        <v>◆</v>
      </c>
      <c r="AB33" s="11" t="str">
        <f t="shared" si="13"/>
        <v/>
      </c>
      <c r="AC33" s="11" t="str">
        <f t="shared" si="13"/>
        <v/>
      </c>
      <c r="AD33" s="11" t="str">
        <f t="shared" si="13"/>
        <v/>
      </c>
      <c r="AE33" s="11" t="str">
        <f t="shared" si="13"/>
        <v/>
      </c>
    </row>
    <row r="34" spans="1:31" s="14" customFormat="1" ht="36.5" customHeight="1">
      <c r="A34" s="17"/>
      <c r="B34" s="17"/>
      <c r="C34" s="17"/>
      <c r="D34" s="17"/>
      <c r="E34" s="21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</row>
    <row r="35" spans="1:31" s="14" customFormat="1" ht="36.5" hidden="1" customHeight="1">
      <c r="A35" s="35" t="s">
        <v>93</v>
      </c>
      <c r="B35" s="36"/>
      <c r="C35" s="36"/>
      <c r="D35" s="36"/>
      <c r="E35" s="36"/>
      <c r="F35" s="36"/>
      <c r="G35" s="37"/>
      <c r="H35" s="35" t="s">
        <v>105</v>
      </c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7"/>
    </row>
    <row r="36" spans="1:31" ht="15">
      <c r="A36" s="1"/>
      <c r="B36" s="1"/>
      <c r="C36" s="1"/>
      <c r="D36" s="1"/>
      <c r="E36" s="2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">
      <c r="A37" s="1"/>
      <c r="B37" s="1"/>
      <c r="C37" s="1"/>
      <c r="D37" s="1"/>
      <c r="E37" s="2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5">
      <c r="A38" s="1"/>
      <c r="B38" s="1"/>
      <c r="C38" s="1"/>
      <c r="D38" s="1"/>
      <c r="E38" s="2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">
      <c r="A39" s="1"/>
      <c r="B39" s="1"/>
      <c r="C39" s="1"/>
      <c r="D39" s="1"/>
      <c r="E39" s="2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5">
      <c r="A40" s="1"/>
      <c r="B40" s="1"/>
      <c r="C40" s="1"/>
      <c r="D40" s="1"/>
      <c r="E40" s="2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">
      <c r="A41" s="1"/>
      <c r="B41" s="1"/>
      <c r="C41" s="1"/>
      <c r="D41" s="1"/>
      <c r="E41" s="2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">
      <c r="A42" s="1"/>
      <c r="B42" s="1"/>
      <c r="C42" s="1"/>
      <c r="D42" s="1"/>
      <c r="E42" s="2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">
      <c r="A43" s="1"/>
      <c r="B43" s="1"/>
      <c r="C43" s="1"/>
      <c r="D43" s="1"/>
      <c r="E43" s="2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">
      <c r="A44" s="1"/>
      <c r="B44" s="1"/>
      <c r="C44" s="1"/>
      <c r="D44" s="1"/>
      <c r="E44" s="2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">
      <c r="A45" s="1"/>
      <c r="B45" s="1"/>
      <c r="C45" s="1"/>
      <c r="D45" s="1"/>
      <c r="E45" s="2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">
      <c r="A46" s="1"/>
      <c r="B46" s="1"/>
      <c r="C46" s="1"/>
      <c r="D46" s="1"/>
      <c r="E46" s="2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">
      <c r="A47" s="1"/>
      <c r="B47" s="1"/>
      <c r="C47" s="1"/>
      <c r="D47" s="1"/>
      <c r="E47" s="2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">
      <c r="A48" s="1"/>
      <c r="B48" s="1"/>
      <c r="C48" s="1"/>
      <c r="D48" s="1"/>
      <c r="E48" s="2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">
      <c r="A49" s="1"/>
      <c r="B49" s="1"/>
      <c r="C49" s="1"/>
      <c r="D49" s="1"/>
      <c r="E49" s="2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">
      <c r="A50" s="1"/>
      <c r="B50" s="1"/>
      <c r="C50" s="1"/>
      <c r="D50" s="1"/>
      <c r="E50" s="2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">
      <c r="A51" s="1"/>
      <c r="B51" s="1"/>
      <c r="C51" s="1"/>
      <c r="D51" s="1"/>
      <c r="E51" s="2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">
      <c r="A52" s="1"/>
      <c r="B52" s="1"/>
      <c r="C52" s="1"/>
      <c r="D52" s="1"/>
      <c r="E52" s="2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">
      <c r="A53" s="1"/>
      <c r="B53" s="1"/>
      <c r="C53" s="1"/>
      <c r="D53" s="1"/>
      <c r="E53" s="2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">
      <c r="A54" s="1"/>
      <c r="B54" s="1"/>
      <c r="C54" s="1"/>
      <c r="D54" s="1"/>
      <c r="E54" s="2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">
      <c r="A55" s="1"/>
      <c r="B55" s="1"/>
      <c r="C55" s="1"/>
      <c r="D55" s="1"/>
      <c r="E55" s="2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">
      <c r="A56" s="1"/>
      <c r="B56" s="1"/>
      <c r="C56" s="1"/>
      <c r="D56" s="1"/>
      <c r="E56" s="2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">
      <c r="A57" s="1"/>
      <c r="B57" s="1"/>
      <c r="C57" s="1"/>
      <c r="D57" s="1"/>
      <c r="E57" s="2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">
      <c r="A58" s="1"/>
      <c r="B58" s="1"/>
      <c r="C58" s="1"/>
      <c r="D58" s="1"/>
      <c r="E58" s="2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">
      <c r="A59" s="1"/>
      <c r="B59" s="1"/>
      <c r="C59" s="1"/>
      <c r="D59" s="1"/>
      <c r="E59" s="2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">
      <c r="A60" s="1"/>
      <c r="B60" s="1"/>
      <c r="C60" s="1"/>
      <c r="D60" s="1"/>
      <c r="E60" s="2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">
      <c r="A61" s="1"/>
      <c r="B61" s="1"/>
      <c r="C61" s="1"/>
      <c r="D61" s="1"/>
      <c r="E61" s="2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">
      <c r="A62" s="1"/>
      <c r="B62" s="1"/>
      <c r="C62" s="1"/>
      <c r="D62" s="1"/>
      <c r="E62" s="2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">
      <c r="A63" s="1"/>
      <c r="B63" s="1"/>
      <c r="C63" s="1"/>
      <c r="D63" s="1"/>
      <c r="E63" s="2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">
      <c r="A64" s="1"/>
      <c r="B64" s="1"/>
      <c r="C64" s="1"/>
      <c r="D64" s="1"/>
      <c r="E64" s="2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">
      <c r="A65" s="1"/>
      <c r="B65" s="1"/>
      <c r="C65" s="1"/>
      <c r="D65" s="1"/>
      <c r="E65" s="2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">
      <c r="A66" s="1"/>
      <c r="B66" s="1"/>
      <c r="C66" s="1"/>
      <c r="D66" s="1"/>
      <c r="E66" s="2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">
      <c r="A67" s="1"/>
      <c r="B67" s="1"/>
      <c r="C67" s="1"/>
      <c r="D67" s="1"/>
      <c r="E67" s="2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">
      <c r="A68" s="1"/>
      <c r="B68" s="1"/>
      <c r="C68" s="1"/>
      <c r="D68" s="1"/>
      <c r="E68" s="2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</sheetData>
  <mergeCells count="17">
    <mergeCell ref="A1:AE1"/>
    <mergeCell ref="A2:AE2"/>
    <mergeCell ref="A4:G4"/>
    <mergeCell ref="H4:J4"/>
    <mergeCell ref="K4:N4"/>
    <mergeCell ref="O4:S4"/>
    <mergeCell ref="T4:W4"/>
    <mergeCell ref="X4:AA4"/>
    <mergeCell ref="AB4:AE4"/>
    <mergeCell ref="A30:AE30"/>
    <mergeCell ref="A35:G35"/>
    <mergeCell ref="H35:AE35"/>
    <mergeCell ref="A6:AE6"/>
    <mergeCell ref="A9:AE9"/>
    <mergeCell ref="A15:AE15"/>
    <mergeCell ref="A23:AE23"/>
    <mergeCell ref="A26:AE26"/>
  </mergeCells>
  <conditionalFormatting sqref="H7:AE7 H16:AE16 H27:AE27 H29:AE29 H33:AE33">
    <cfRule type="expression" dxfId="3" priority="1">
      <formula>AND(H$3&lt;=$D7,H$3+6&gt;=$C7)</formula>
    </cfRule>
  </conditionalFormatting>
  <conditionalFormatting sqref="H8:AE8 H10:AE14 H17:AE22 H24:AE25 H28:AE28 H31:AE32">
    <cfRule type="expression" dxfId="2" priority="2">
      <formula>AND(H$3&lt;=$D8,H$3+6&gt;=$C8)</formula>
    </cfRule>
  </conditionalFormatting>
  <pageMargins left="0.7" right="0.7" top="0.75" bottom="0.75" header="0.3" footer="0.3"/>
  <pageSetup paperSize="9" scale="5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E69"/>
  <sheetViews>
    <sheetView showGridLines="0" tabSelected="1" topLeftCell="A15" zoomScale="53" zoomScaleNormal="53" workbookViewId="0">
      <selection activeCell="G47" sqref="G47"/>
    </sheetView>
  </sheetViews>
  <sheetFormatPr defaultRowHeight="14"/>
  <cols>
    <col min="1" max="1" width="37.58203125" customWidth="1"/>
    <col min="2" max="2" width="27" hidden="1" customWidth="1"/>
    <col min="3" max="4" width="12" customWidth="1"/>
    <col min="5" max="5" width="9" style="23" customWidth="1"/>
    <col min="6" max="6" width="14" hidden="1" customWidth="1"/>
    <col min="7" max="7" width="49.4140625" customWidth="1"/>
    <col min="8" max="31" width="5" customWidth="1"/>
  </cols>
  <sheetData>
    <row r="1" spans="1:31" ht="48" customHeight="1">
      <c r="A1" s="31" t="s">
        <v>111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</row>
    <row r="2" spans="1:31" ht="49" hidden="1" customHeight="1">
      <c r="A2" s="38" t="s">
        <v>94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40"/>
    </row>
    <row r="3" spans="1:31" ht="2" customHeight="1">
      <c r="A3" s="2"/>
      <c r="B3" s="2"/>
      <c r="C3" s="2"/>
      <c r="D3" s="2"/>
      <c r="E3" s="27"/>
      <c r="F3" s="2"/>
      <c r="G3" s="2"/>
      <c r="H3" s="3">
        <v>46218</v>
      </c>
      <c r="I3" s="3">
        <v>46225</v>
      </c>
      <c r="J3" s="3">
        <v>46232</v>
      </c>
      <c r="K3" s="3">
        <v>46239</v>
      </c>
      <c r="L3" s="3">
        <v>46246</v>
      </c>
      <c r="M3" s="3">
        <v>46253</v>
      </c>
      <c r="N3" s="3">
        <v>46260</v>
      </c>
      <c r="O3" s="3">
        <v>46267</v>
      </c>
      <c r="P3" s="3">
        <v>46274</v>
      </c>
      <c r="Q3" s="3">
        <v>46281</v>
      </c>
      <c r="R3" s="3">
        <v>46288</v>
      </c>
      <c r="S3" s="3">
        <v>46295</v>
      </c>
      <c r="T3" s="3">
        <v>46302</v>
      </c>
      <c r="U3" s="3">
        <v>46309</v>
      </c>
      <c r="V3" s="3">
        <v>46316</v>
      </c>
      <c r="W3" s="3">
        <v>46323</v>
      </c>
      <c r="X3" s="3">
        <v>46330</v>
      </c>
      <c r="Y3" s="3">
        <v>46337</v>
      </c>
      <c r="Z3" s="3">
        <v>46344</v>
      </c>
      <c r="AA3" s="3">
        <v>46351</v>
      </c>
      <c r="AB3" s="3">
        <v>46358</v>
      </c>
      <c r="AC3" s="3">
        <v>46365</v>
      </c>
      <c r="AD3" s="3">
        <v>46372</v>
      </c>
      <c r="AE3" s="3">
        <v>46379</v>
      </c>
    </row>
    <row r="4" spans="1:31" ht="26.5" customHeight="1">
      <c r="A4" s="49" t="s">
        <v>107</v>
      </c>
      <c r="B4" s="50"/>
      <c r="C4" s="50"/>
      <c r="D4" s="50"/>
      <c r="E4" s="51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</row>
    <row r="5" spans="1:31" s="8" customFormat="1" ht="26.5" customHeight="1">
      <c r="A5" s="32" t="s">
        <v>127</v>
      </c>
      <c r="B5" s="32"/>
      <c r="C5" s="33" t="s">
        <v>108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</row>
    <row r="6" spans="1:31" s="8" customFormat="1" ht="26.5" customHeight="1">
      <c r="A6" s="32" t="s">
        <v>110</v>
      </c>
      <c r="B6" s="32"/>
      <c r="C6" s="33" t="s">
        <v>109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</row>
    <row r="7" spans="1:31" s="8" customFormat="1" ht="19" customHeight="1">
      <c r="A7" s="2"/>
      <c r="B7" s="2"/>
      <c r="C7" s="2"/>
      <c r="D7" s="2"/>
      <c r="E7" s="27"/>
      <c r="F7" s="2"/>
      <c r="G7" s="2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s="8" customFormat="1" ht="34.5" customHeight="1">
      <c r="A8" s="31" t="s">
        <v>0</v>
      </c>
      <c r="B8" s="31"/>
      <c r="C8" s="31"/>
      <c r="D8" s="31"/>
      <c r="E8" s="31"/>
      <c r="F8" s="31"/>
      <c r="G8" s="31"/>
      <c r="H8" s="41" t="s">
        <v>1</v>
      </c>
      <c r="I8" s="41"/>
      <c r="J8" s="41"/>
      <c r="K8" s="41" t="s">
        <v>2</v>
      </c>
      <c r="L8" s="41"/>
      <c r="M8" s="41"/>
      <c r="N8" s="41"/>
      <c r="O8" s="41" t="s">
        <v>3</v>
      </c>
      <c r="P8" s="41"/>
      <c r="Q8" s="41"/>
      <c r="R8" s="41"/>
      <c r="S8" s="41"/>
      <c r="T8" s="41" t="s">
        <v>4</v>
      </c>
      <c r="U8" s="41"/>
      <c r="V8" s="41"/>
      <c r="W8" s="41"/>
      <c r="X8" s="41" t="s">
        <v>5</v>
      </c>
      <c r="Y8" s="41"/>
      <c r="Z8" s="41"/>
      <c r="AA8" s="41"/>
      <c r="AB8" s="41" t="s">
        <v>6</v>
      </c>
      <c r="AC8" s="41"/>
      <c r="AD8" s="41"/>
      <c r="AE8" s="41"/>
    </row>
    <row r="9" spans="1:31" s="8" customFormat="1" ht="34.5" customHeight="1">
      <c r="A9" s="12" t="s">
        <v>7</v>
      </c>
      <c r="B9" s="12" t="s">
        <v>8</v>
      </c>
      <c r="C9" s="12" t="s">
        <v>9</v>
      </c>
      <c r="D9" s="12" t="s">
        <v>10</v>
      </c>
      <c r="E9" s="12" t="s">
        <v>11</v>
      </c>
      <c r="F9" s="12" t="s">
        <v>12</v>
      </c>
      <c r="G9" s="12" t="s">
        <v>13</v>
      </c>
      <c r="H9" s="12" t="s">
        <v>14</v>
      </c>
      <c r="I9" s="12" t="s">
        <v>15</v>
      </c>
      <c r="J9" s="12" t="s">
        <v>16</v>
      </c>
      <c r="K9" s="12" t="s">
        <v>17</v>
      </c>
      <c r="L9" s="12" t="s">
        <v>18</v>
      </c>
      <c r="M9" s="12" t="s">
        <v>19</v>
      </c>
      <c r="N9" s="12" t="s">
        <v>20</v>
      </c>
      <c r="O9" s="12" t="s">
        <v>21</v>
      </c>
      <c r="P9" s="12" t="s">
        <v>22</v>
      </c>
      <c r="Q9" s="12" t="s">
        <v>23</v>
      </c>
      <c r="R9" s="12" t="s">
        <v>24</v>
      </c>
      <c r="S9" s="12" t="s">
        <v>25</v>
      </c>
      <c r="T9" s="12" t="s">
        <v>26</v>
      </c>
      <c r="U9" s="12" t="s">
        <v>27</v>
      </c>
      <c r="V9" s="12" t="s">
        <v>28</v>
      </c>
      <c r="W9" s="12" t="s">
        <v>29</v>
      </c>
      <c r="X9" s="12" t="s">
        <v>30</v>
      </c>
      <c r="Y9" s="12" t="s">
        <v>31</v>
      </c>
      <c r="Z9" s="12" t="s">
        <v>32</v>
      </c>
      <c r="AA9" s="12" t="s">
        <v>33</v>
      </c>
      <c r="AB9" s="12" t="s">
        <v>34</v>
      </c>
      <c r="AC9" s="12" t="s">
        <v>35</v>
      </c>
      <c r="AD9" s="12" t="s">
        <v>36</v>
      </c>
      <c r="AE9" s="12" t="s">
        <v>37</v>
      </c>
    </row>
    <row r="10" spans="1:31" s="8" customFormat="1" ht="34.5" customHeight="1">
      <c r="A10" s="34" t="s">
        <v>38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</row>
    <row r="11" spans="1:31" s="8" customFormat="1" ht="34.5" customHeight="1">
      <c r="A11" s="9" t="s">
        <v>39</v>
      </c>
      <c r="B11" s="9" t="s">
        <v>40</v>
      </c>
      <c r="C11" s="10">
        <v>46218</v>
      </c>
      <c r="D11" s="10">
        <f>IF(E11=0,C11,IF(F11="Working days",WORKDAY(C11,E11-1),C11+E11-1))</f>
        <v>46218</v>
      </c>
      <c r="E11" s="19">
        <v>0</v>
      </c>
      <c r="F11" s="9" t="s">
        <v>41</v>
      </c>
      <c r="G11" s="9" t="s">
        <v>42</v>
      </c>
      <c r="H11" s="11" t="str">
        <f t="shared" ref="H11:Q12" si="0">IF(AND(H$3&lt;=$D11,H$3+6&gt;=$C11),IF($E11=0,"◆","■"),"")</f>
        <v>◆</v>
      </c>
      <c r="I11" s="11" t="str">
        <f t="shared" si="0"/>
        <v/>
      </c>
      <c r="J11" s="11" t="str">
        <f t="shared" si="0"/>
        <v/>
      </c>
      <c r="K11" s="11" t="str">
        <f t="shared" si="0"/>
        <v/>
      </c>
      <c r="L11" s="11" t="str">
        <f t="shared" si="0"/>
        <v/>
      </c>
      <c r="M11" s="11" t="str">
        <f t="shared" si="0"/>
        <v/>
      </c>
      <c r="N11" s="11" t="str">
        <f t="shared" si="0"/>
        <v/>
      </c>
      <c r="O11" s="11" t="str">
        <f t="shared" si="0"/>
        <v/>
      </c>
      <c r="P11" s="11" t="str">
        <f t="shared" si="0"/>
        <v/>
      </c>
      <c r="Q11" s="11" t="str">
        <f t="shared" si="0"/>
        <v/>
      </c>
      <c r="R11" s="11" t="str">
        <f t="shared" ref="R11:AE12" si="1">IF(AND(R$3&lt;=$D11,R$3+6&gt;=$C11),IF($E11=0,"◆","■"),"")</f>
        <v/>
      </c>
      <c r="S11" s="11" t="str">
        <f t="shared" si="1"/>
        <v/>
      </c>
      <c r="T11" s="11" t="str">
        <f t="shared" si="1"/>
        <v/>
      </c>
      <c r="U11" s="11" t="str">
        <f t="shared" si="1"/>
        <v/>
      </c>
      <c r="V11" s="11" t="str">
        <f t="shared" si="1"/>
        <v/>
      </c>
      <c r="W11" s="11" t="str">
        <f t="shared" si="1"/>
        <v/>
      </c>
      <c r="X11" s="11" t="str">
        <f t="shared" si="1"/>
        <v/>
      </c>
      <c r="Y11" s="11" t="str">
        <f t="shared" si="1"/>
        <v/>
      </c>
      <c r="Z11" s="11" t="str">
        <f t="shared" si="1"/>
        <v/>
      </c>
      <c r="AA11" s="11" t="str">
        <f t="shared" si="1"/>
        <v/>
      </c>
      <c r="AB11" s="11" t="str">
        <f t="shared" si="1"/>
        <v/>
      </c>
      <c r="AC11" s="11" t="str">
        <f t="shared" si="1"/>
        <v/>
      </c>
      <c r="AD11" s="11" t="str">
        <f t="shared" si="1"/>
        <v/>
      </c>
      <c r="AE11" s="11" t="str">
        <f t="shared" si="1"/>
        <v/>
      </c>
    </row>
    <row r="12" spans="1:31" s="8" customFormat="1" ht="34.5" customHeight="1">
      <c r="A12" s="4" t="s">
        <v>112</v>
      </c>
      <c r="B12" s="4" t="s">
        <v>43</v>
      </c>
      <c r="C12" s="5">
        <v>46219</v>
      </c>
      <c r="D12" s="5">
        <f>IF(E12=0,C12,IF(F12="Working days",WORKDAY(C12,E12-1),C12+E12-1))</f>
        <v>46225</v>
      </c>
      <c r="E12" s="20">
        <v>7</v>
      </c>
      <c r="F12" s="6" t="s">
        <v>44</v>
      </c>
      <c r="G12" s="4" t="s">
        <v>45</v>
      </c>
      <c r="H12" s="7" t="str">
        <f t="shared" si="0"/>
        <v>■</v>
      </c>
      <c r="I12" s="7" t="str">
        <f t="shared" si="0"/>
        <v>■</v>
      </c>
      <c r="J12" s="7" t="str">
        <f t="shared" si="0"/>
        <v/>
      </c>
      <c r="K12" s="7" t="str">
        <f t="shared" si="0"/>
        <v/>
      </c>
      <c r="L12" s="7" t="str">
        <f t="shared" si="0"/>
        <v/>
      </c>
      <c r="M12" s="7" t="str">
        <f t="shared" si="0"/>
        <v/>
      </c>
      <c r="N12" s="7" t="str">
        <f t="shared" si="0"/>
        <v/>
      </c>
      <c r="O12" s="7" t="str">
        <f t="shared" si="0"/>
        <v/>
      </c>
      <c r="P12" s="7" t="str">
        <f t="shared" si="0"/>
        <v/>
      </c>
      <c r="Q12" s="7" t="str">
        <f t="shared" si="0"/>
        <v/>
      </c>
      <c r="R12" s="7" t="str">
        <f t="shared" si="1"/>
        <v/>
      </c>
      <c r="S12" s="7" t="str">
        <f t="shared" si="1"/>
        <v/>
      </c>
      <c r="T12" s="7" t="str">
        <f t="shared" si="1"/>
        <v/>
      </c>
      <c r="U12" s="7" t="str">
        <f t="shared" si="1"/>
        <v/>
      </c>
      <c r="V12" s="7" t="str">
        <f t="shared" si="1"/>
        <v/>
      </c>
      <c r="W12" s="7" t="str">
        <f t="shared" si="1"/>
        <v/>
      </c>
      <c r="X12" s="7" t="str">
        <f t="shared" si="1"/>
        <v/>
      </c>
      <c r="Y12" s="7" t="str">
        <f t="shared" si="1"/>
        <v/>
      </c>
      <c r="Z12" s="7" t="str">
        <f t="shared" si="1"/>
        <v/>
      </c>
      <c r="AA12" s="7" t="str">
        <f t="shared" si="1"/>
        <v/>
      </c>
      <c r="AB12" s="7" t="str">
        <f t="shared" si="1"/>
        <v/>
      </c>
      <c r="AC12" s="7" t="str">
        <f t="shared" si="1"/>
        <v/>
      </c>
      <c r="AD12" s="7" t="str">
        <f t="shared" si="1"/>
        <v/>
      </c>
      <c r="AE12" s="7" t="str">
        <f t="shared" si="1"/>
        <v/>
      </c>
    </row>
    <row r="13" spans="1:31" s="8" customFormat="1" ht="34.5" customHeight="1">
      <c r="A13" s="34" t="s">
        <v>46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</row>
    <row r="14" spans="1:31" s="8" customFormat="1" ht="34.5" customHeight="1">
      <c r="A14" s="9" t="s">
        <v>118</v>
      </c>
      <c r="B14" s="9" t="s">
        <v>47</v>
      </c>
      <c r="C14" s="10">
        <v>46258</v>
      </c>
      <c r="D14" s="10">
        <f t="shared" ref="D14:D19" si="2">IF(E14=0,C14,IF(F14="Working days",WORKDAY(C14,E14-1),C14+E14-1))</f>
        <v>46258</v>
      </c>
      <c r="E14" s="19"/>
      <c r="F14" s="9" t="s">
        <v>41</v>
      </c>
      <c r="G14" s="9" t="s">
        <v>121</v>
      </c>
      <c r="H14" s="11" t="str">
        <f t="shared" ref="H14:Q19" si="3">IF(AND(H$3&lt;=$D14,H$3+6&gt;=$C14),IF($E14=0,"◆","■"),"")</f>
        <v/>
      </c>
      <c r="I14" s="11" t="str">
        <f t="shared" si="3"/>
        <v/>
      </c>
      <c r="J14" s="11" t="str">
        <f t="shared" si="3"/>
        <v/>
      </c>
      <c r="K14" s="11" t="str">
        <f t="shared" si="3"/>
        <v/>
      </c>
      <c r="L14" s="11" t="str">
        <f t="shared" si="3"/>
        <v/>
      </c>
      <c r="M14" s="11" t="str">
        <f t="shared" si="3"/>
        <v>◆</v>
      </c>
      <c r="N14" s="11" t="str">
        <f t="shared" si="3"/>
        <v/>
      </c>
      <c r="O14" s="11" t="str">
        <f t="shared" si="3"/>
        <v/>
      </c>
      <c r="P14" s="11" t="str">
        <f t="shared" si="3"/>
        <v/>
      </c>
      <c r="Q14" s="11" t="str">
        <f t="shared" si="3"/>
        <v/>
      </c>
      <c r="R14" s="11" t="str">
        <f t="shared" ref="R14:AE19" si="4">IF(AND(R$3&lt;=$D14,R$3+6&gt;=$C14),IF($E14=0,"◆","■"),"")</f>
        <v/>
      </c>
      <c r="S14" s="11" t="str">
        <f t="shared" si="4"/>
        <v/>
      </c>
      <c r="T14" s="11" t="str">
        <f t="shared" si="4"/>
        <v/>
      </c>
      <c r="U14" s="11" t="str">
        <f t="shared" si="4"/>
        <v/>
      </c>
      <c r="V14" s="11" t="str">
        <f t="shared" si="4"/>
        <v/>
      </c>
      <c r="W14" s="11" t="str">
        <f t="shared" si="4"/>
        <v/>
      </c>
      <c r="X14" s="11" t="str">
        <f t="shared" si="4"/>
        <v/>
      </c>
      <c r="Y14" s="11" t="str">
        <f t="shared" si="4"/>
        <v/>
      </c>
      <c r="Z14" s="11" t="str">
        <f t="shared" si="4"/>
        <v/>
      </c>
      <c r="AA14" s="11" t="str">
        <f t="shared" si="4"/>
        <v/>
      </c>
      <c r="AB14" s="11" t="str">
        <f t="shared" si="4"/>
        <v/>
      </c>
      <c r="AC14" s="11" t="str">
        <f t="shared" si="4"/>
        <v/>
      </c>
      <c r="AD14" s="11" t="str">
        <f t="shared" si="4"/>
        <v/>
      </c>
      <c r="AE14" s="11" t="str">
        <f t="shared" si="4"/>
        <v/>
      </c>
    </row>
    <row r="15" spans="1:31" s="8" customFormat="1" ht="34.5" customHeight="1">
      <c r="A15" s="4" t="s">
        <v>48</v>
      </c>
      <c r="B15" s="4" t="s">
        <v>49</v>
      </c>
      <c r="C15" s="5">
        <v>46226</v>
      </c>
      <c r="D15" s="5">
        <f t="shared" si="2"/>
        <v>46232</v>
      </c>
      <c r="E15" s="20">
        <v>5</v>
      </c>
      <c r="F15" s="6" t="s">
        <v>50</v>
      </c>
      <c r="G15" s="4" t="s">
        <v>119</v>
      </c>
      <c r="H15" s="7" t="str">
        <f t="shared" si="3"/>
        <v/>
      </c>
      <c r="I15" s="7" t="str">
        <f t="shared" si="3"/>
        <v>■</v>
      </c>
      <c r="J15" s="7" t="str">
        <f t="shared" si="3"/>
        <v>■</v>
      </c>
      <c r="K15" s="7" t="str">
        <f t="shared" si="3"/>
        <v/>
      </c>
      <c r="L15" s="7" t="str">
        <f t="shared" si="3"/>
        <v/>
      </c>
      <c r="M15" s="7" t="str">
        <f t="shared" si="3"/>
        <v/>
      </c>
      <c r="N15" s="7" t="str">
        <f t="shared" si="3"/>
        <v/>
      </c>
      <c r="O15" s="7" t="str">
        <f t="shared" si="3"/>
        <v/>
      </c>
      <c r="P15" s="7" t="str">
        <f t="shared" si="3"/>
        <v/>
      </c>
      <c r="Q15" s="7" t="str">
        <f t="shared" si="3"/>
        <v/>
      </c>
      <c r="R15" s="7" t="str">
        <f t="shared" si="4"/>
        <v/>
      </c>
      <c r="S15" s="7" t="str">
        <f t="shared" si="4"/>
        <v/>
      </c>
      <c r="T15" s="7" t="str">
        <f t="shared" si="4"/>
        <v/>
      </c>
      <c r="U15" s="7" t="str">
        <f t="shared" si="4"/>
        <v/>
      </c>
      <c r="V15" s="7" t="str">
        <f t="shared" si="4"/>
        <v/>
      </c>
      <c r="W15" s="7" t="str">
        <f t="shared" si="4"/>
        <v/>
      </c>
      <c r="X15" s="7" t="str">
        <f t="shared" si="4"/>
        <v/>
      </c>
      <c r="Y15" s="7" t="str">
        <f t="shared" si="4"/>
        <v/>
      </c>
      <c r="Z15" s="7" t="str">
        <f t="shared" si="4"/>
        <v/>
      </c>
      <c r="AA15" s="7" t="str">
        <f t="shared" si="4"/>
        <v/>
      </c>
      <c r="AB15" s="7" t="str">
        <f t="shared" si="4"/>
        <v/>
      </c>
      <c r="AC15" s="7" t="str">
        <f t="shared" si="4"/>
        <v/>
      </c>
      <c r="AD15" s="7" t="str">
        <f t="shared" si="4"/>
        <v/>
      </c>
      <c r="AE15" s="7" t="str">
        <f t="shared" si="4"/>
        <v/>
      </c>
    </row>
    <row r="16" spans="1:31" s="8" customFormat="1" ht="34.5" customHeight="1">
      <c r="A16" s="4" t="s">
        <v>52</v>
      </c>
      <c r="B16" s="4" t="s">
        <v>43</v>
      </c>
      <c r="C16" s="5">
        <v>46233</v>
      </c>
      <c r="D16" s="5">
        <f t="shared" si="2"/>
        <v>46237</v>
      </c>
      <c r="E16" s="20">
        <v>3</v>
      </c>
      <c r="F16" s="6" t="s">
        <v>50</v>
      </c>
      <c r="G16" s="4" t="s">
        <v>122</v>
      </c>
      <c r="H16" s="7" t="str">
        <f t="shared" si="3"/>
        <v/>
      </c>
      <c r="I16" s="7" t="str">
        <f t="shared" si="3"/>
        <v/>
      </c>
      <c r="J16" s="7" t="str">
        <f t="shared" si="3"/>
        <v>■</v>
      </c>
      <c r="K16" s="7" t="str">
        <f t="shared" si="3"/>
        <v/>
      </c>
      <c r="L16" s="7" t="str">
        <f t="shared" si="3"/>
        <v/>
      </c>
      <c r="M16" s="7" t="str">
        <f t="shared" si="3"/>
        <v/>
      </c>
      <c r="N16" s="7" t="str">
        <f t="shared" si="3"/>
        <v/>
      </c>
      <c r="O16" s="7" t="str">
        <f t="shared" si="3"/>
        <v/>
      </c>
      <c r="P16" s="7" t="str">
        <f t="shared" si="3"/>
        <v/>
      </c>
      <c r="Q16" s="7" t="str">
        <f t="shared" si="3"/>
        <v/>
      </c>
      <c r="R16" s="7" t="str">
        <f t="shared" si="4"/>
        <v/>
      </c>
      <c r="S16" s="7" t="str">
        <f t="shared" si="4"/>
        <v/>
      </c>
      <c r="T16" s="7" t="str">
        <f t="shared" si="4"/>
        <v/>
      </c>
      <c r="U16" s="7" t="str">
        <f t="shared" si="4"/>
        <v/>
      </c>
      <c r="V16" s="7" t="str">
        <f t="shared" si="4"/>
        <v/>
      </c>
      <c r="W16" s="7" t="str">
        <f t="shared" si="4"/>
        <v/>
      </c>
      <c r="X16" s="7" t="str">
        <f t="shared" si="4"/>
        <v/>
      </c>
      <c r="Y16" s="7" t="str">
        <f t="shared" si="4"/>
        <v/>
      </c>
      <c r="Z16" s="7" t="str">
        <f t="shared" si="4"/>
        <v/>
      </c>
      <c r="AA16" s="7" t="str">
        <f t="shared" si="4"/>
        <v/>
      </c>
      <c r="AB16" s="7" t="str">
        <f t="shared" si="4"/>
        <v/>
      </c>
      <c r="AC16" s="7" t="str">
        <f t="shared" si="4"/>
        <v/>
      </c>
      <c r="AD16" s="7" t="str">
        <f t="shared" si="4"/>
        <v/>
      </c>
      <c r="AE16" s="7" t="str">
        <f t="shared" si="4"/>
        <v/>
      </c>
    </row>
    <row r="17" spans="1:31" s="8" customFormat="1" ht="34.5" customHeight="1">
      <c r="A17" s="4" t="s">
        <v>120</v>
      </c>
      <c r="B17" s="4" t="s">
        <v>49</v>
      </c>
      <c r="C17" s="5">
        <v>46258</v>
      </c>
      <c r="D17" s="5">
        <f t="shared" si="2"/>
        <v>46262</v>
      </c>
      <c r="E17" s="20">
        <v>5</v>
      </c>
      <c r="F17" s="6" t="s">
        <v>50</v>
      </c>
      <c r="G17" s="4" t="s">
        <v>95</v>
      </c>
      <c r="H17" s="7" t="str">
        <f t="shared" si="3"/>
        <v/>
      </c>
      <c r="I17" s="7" t="str">
        <f t="shared" si="3"/>
        <v/>
      </c>
      <c r="J17" s="7" t="str">
        <f t="shared" si="3"/>
        <v/>
      </c>
      <c r="K17" s="7" t="str">
        <f t="shared" si="3"/>
        <v/>
      </c>
      <c r="L17" s="7" t="str">
        <f t="shared" si="3"/>
        <v/>
      </c>
      <c r="M17" s="7" t="str">
        <f t="shared" si="3"/>
        <v>■</v>
      </c>
      <c r="N17" s="7" t="str">
        <f t="shared" si="3"/>
        <v>■</v>
      </c>
      <c r="O17" s="7" t="str">
        <f t="shared" si="3"/>
        <v/>
      </c>
      <c r="P17" s="7" t="str">
        <f t="shared" si="3"/>
        <v/>
      </c>
      <c r="Q17" s="7" t="str">
        <f t="shared" si="3"/>
        <v/>
      </c>
      <c r="R17" s="7" t="str">
        <f t="shared" si="4"/>
        <v/>
      </c>
      <c r="S17" s="7" t="str">
        <f t="shared" si="4"/>
        <v/>
      </c>
      <c r="T17" s="7" t="str">
        <f t="shared" si="4"/>
        <v/>
      </c>
      <c r="U17" s="7" t="str">
        <f t="shared" si="4"/>
        <v/>
      </c>
      <c r="V17" s="7" t="str">
        <f t="shared" si="4"/>
        <v/>
      </c>
      <c r="W17" s="7" t="str">
        <f t="shared" si="4"/>
        <v/>
      </c>
      <c r="X17" s="7" t="str">
        <f t="shared" si="4"/>
        <v/>
      </c>
      <c r="Y17" s="7" t="str">
        <f t="shared" si="4"/>
        <v/>
      </c>
      <c r="Z17" s="7" t="str">
        <f t="shared" si="4"/>
        <v/>
      </c>
      <c r="AA17" s="7" t="str">
        <f t="shared" si="4"/>
        <v/>
      </c>
      <c r="AB17" s="7" t="str">
        <f t="shared" si="4"/>
        <v/>
      </c>
      <c r="AC17" s="7" t="str">
        <f t="shared" si="4"/>
        <v/>
      </c>
      <c r="AD17" s="7" t="str">
        <f t="shared" si="4"/>
        <v/>
      </c>
      <c r="AE17" s="7" t="str">
        <f t="shared" si="4"/>
        <v/>
      </c>
    </row>
    <row r="18" spans="1:31" s="8" customFormat="1" ht="58" customHeight="1">
      <c r="A18" s="4" t="s">
        <v>55</v>
      </c>
      <c r="B18" s="4" t="s">
        <v>43</v>
      </c>
      <c r="C18" s="5">
        <v>46265</v>
      </c>
      <c r="D18" s="5">
        <f t="shared" si="2"/>
        <v>46267</v>
      </c>
      <c r="E18" s="20">
        <v>3</v>
      </c>
      <c r="F18" s="6" t="s">
        <v>50</v>
      </c>
      <c r="G18" s="4" t="s">
        <v>96</v>
      </c>
      <c r="H18" s="7" t="str">
        <f t="shared" si="3"/>
        <v/>
      </c>
      <c r="I18" s="7" t="str">
        <f t="shared" si="3"/>
        <v/>
      </c>
      <c r="J18" s="7" t="str">
        <f t="shared" si="3"/>
        <v/>
      </c>
      <c r="K18" s="7" t="str">
        <f t="shared" si="3"/>
        <v/>
      </c>
      <c r="L18" s="7" t="str">
        <f t="shared" si="3"/>
        <v/>
      </c>
      <c r="M18" s="7" t="str">
        <f t="shared" si="3"/>
        <v/>
      </c>
      <c r="N18" s="7" t="str">
        <f t="shared" si="3"/>
        <v>■</v>
      </c>
      <c r="O18" s="7" t="str">
        <f t="shared" si="3"/>
        <v>■</v>
      </c>
      <c r="P18" s="7" t="str">
        <f t="shared" si="3"/>
        <v/>
      </c>
      <c r="Q18" s="7" t="str">
        <f t="shared" si="3"/>
        <v/>
      </c>
      <c r="R18" s="7" t="str">
        <f t="shared" si="4"/>
        <v/>
      </c>
      <c r="S18" s="7" t="str">
        <f t="shared" si="4"/>
        <v/>
      </c>
      <c r="T18" s="7" t="str">
        <f t="shared" si="4"/>
        <v/>
      </c>
      <c r="U18" s="7" t="str">
        <f t="shared" si="4"/>
        <v/>
      </c>
      <c r="V18" s="7" t="str">
        <f t="shared" si="4"/>
        <v/>
      </c>
      <c r="W18" s="7" t="str">
        <f t="shared" si="4"/>
        <v/>
      </c>
      <c r="X18" s="7" t="str">
        <f t="shared" si="4"/>
        <v/>
      </c>
      <c r="Y18" s="7" t="str">
        <f t="shared" si="4"/>
        <v/>
      </c>
      <c r="Z18" s="7" t="str">
        <f t="shared" si="4"/>
        <v/>
      </c>
      <c r="AA18" s="7" t="str">
        <f t="shared" si="4"/>
        <v/>
      </c>
      <c r="AB18" s="7" t="str">
        <f t="shared" si="4"/>
        <v/>
      </c>
      <c r="AC18" s="7" t="str">
        <f t="shared" si="4"/>
        <v/>
      </c>
      <c r="AD18" s="7" t="str">
        <f t="shared" si="4"/>
        <v/>
      </c>
      <c r="AE18" s="7" t="str">
        <f t="shared" si="4"/>
        <v/>
      </c>
    </row>
    <row r="19" spans="1:31" s="8" customFormat="1" ht="34.5" customHeight="1">
      <c r="A19" s="4" t="s">
        <v>57</v>
      </c>
      <c r="B19" s="4" t="s">
        <v>47</v>
      </c>
      <c r="C19" s="5">
        <v>46268</v>
      </c>
      <c r="D19" s="52">
        <f t="shared" si="2"/>
        <v>46273</v>
      </c>
      <c r="E19" s="20">
        <v>4</v>
      </c>
      <c r="F19" s="6" t="s">
        <v>50</v>
      </c>
      <c r="G19" s="4" t="s">
        <v>97</v>
      </c>
      <c r="H19" s="7" t="str">
        <f t="shared" si="3"/>
        <v/>
      </c>
      <c r="I19" s="7" t="str">
        <f t="shared" si="3"/>
        <v/>
      </c>
      <c r="J19" s="7" t="str">
        <f t="shared" si="3"/>
        <v/>
      </c>
      <c r="K19" s="7" t="str">
        <f t="shared" si="3"/>
        <v/>
      </c>
      <c r="L19" s="7" t="str">
        <f t="shared" si="3"/>
        <v/>
      </c>
      <c r="M19" s="7" t="str">
        <f t="shared" si="3"/>
        <v/>
      </c>
      <c r="N19" s="7" t="str">
        <f t="shared" si="3"/>
        <v/>
      </c>
      <c r="O19" s="7" t="str">
        <f t="shared" si="3"/>
        <v>■</v>
      </c>
      <c r="P19" s="7" t="str">
        <f t="shared" si="3"/>
        <v/>
      </c>
      <c r="Q19" s="7" t="str">
        <f t="shared" si="3"/>
        <v/>
      </c>
      <c r="R19" s="7" t="str">
        <f t="shared" si="4"/>
        <v/>
      </c>
      <c r="S19" s="7" t="str">
        <f t="shared" si="4"/>
        <v/>
      </c>
      <c r="T19" s="7" t="str">
        <f t="shared" si="4"/>
        <v/>
      </c>
      <c r="U19" s="7" t="str">
        <f t="shared" si="4"/>
        <v/>
      </c>
      <c r="V19" s="7" t="str">
        <f t="shared" si="4"/>
        <v/>
      </c>
      <c r="W19" s="7" t="str">
        <f t="shared" si="4"/>
        <v/>
      </c>
      <c r="X19" s="7" t="str">
        <f t="shared" si="4"/>
        <v/>
      </c>
      <c r="Y19" s="7" t="str">
        <f t="shared" si="4"/>
        <v/>
      </c>
      <c r="Z19" s="7" t="str">
        <f t="shared" si="4"/>
        <v/>
      </c>
      <c r="AA19" s="7" t="str">
        <f t="shared" si="4"/>
        <v/>
      </c>
      <c r="AB19" s="7" t="str">
        <f t="shared" si="4"/>
        <v/>
      </c>
      <c r="AC19" s="7" t="str">
        <f t="shared" si="4"/>
        <v/>
      </c>
      <c r="AD19" s="7" t="str">
        <f t="shared" si="4"/>
        <v/>
      </c>
      <c r="AE19" s="7" t="str">
        <f t="shared" si="4"/>
        <v/>
      </c>
    </row>
    <row r="20" spans="1:31" s="8" customFormat="1" ht="34.5" customHeight="1">
      <c r="A20" s="34" t="s">
        <v>59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</row>
    <row r="21" spans="1:31" s="8" customFormat="1" ht="34.5" customHeight="1">
      <c r="A21" s="9" t="s">
        <v>60</v>
      </c>
      <c r="B21" s="9" t="s">
        <v>61</v>
      </c>
      <c r="C21" s="10">
        <v>46233</v>
      </c>
      <c r="D21" s="10">
        <f t="shared" ref="D21:D27" si="5">IF(E21=0,C21,IF(F21="Working days",WORKDAY(C21,E21-1),C21+E21-1))</f>
        <v>46233</v>
      </c>
      <c r="E21" s="19">
        <v>0</v>
      </c>
      <c r="F21" s="9" t="s">
        <v>41</v>
      </c>
      <c r="G21" s="9" t="s">
        <v>123</v>
      </c>
      <c r="H21" s="11" t="str">
        <f t="shared" ref="H21:Q27" si="6">IF(AND(H$3&lt;=$D21,H$3+6&gt;=$C21),IF($E21=0,"◆","■"),"")</f>
        <v/>
      </c>
      <c r="I21" s="11" t="str">
        <f t="shared" si="6"/>
        <v/>
      </c>
      <c r="J21" s="11" t="str">
        <f t="shared" si="6"/>
        <v>◆</v>
      </c>
      <c r="K21" s="11" t="str">
        <f t="shared" si="6"/>
        <v/>
      </c>
      <c r="L21" s="11" t="str">
        <f t="shared" si="6"/>
        <v/>
      </c>
      <c r="M21" s="11" t="str">
        <f t="shared" si="6"/>
        <v/>
      </c>
      <c r="N21" s="11" t="str">
        <f t="shared" si="6"/>
        <v/>
      </c>
      <c r="O21" s="11" t="str">
        <f t="shared" si="6"/>
        <v/>
      </c>
      <c r="P21" s="11" t="str">
        <f t="shared" si="6"/>
        <v/>
      </c>
      <c r="Q21" s="11" t="str">
        <f t="shared" si="6"/>
        <v/>
      </c>
      <c r="R21" s="11" t="str">
        <f t="shared" ref="R21:AE27" si="7">IF(AND(R$3&lt;=$D21,R$3+6&gt;=$C21),IF($E21=0,"◆","■"),"")</f>
        <v/>
      </c>
      <c r="S21" s="11" t="str">
        <f t="shared" si="7"/>
        <v/>
      </c>
      <c r="T21" s="11" t="str">
        <f t="shared" si="7"/>
        <v/>
      </c>
      <c r="U21" s="11" t="str">
        <f t="shared" si="7"/>
        <v/>
      </c>
      <c r="V21" s="11" t="str">
        <f t="shared" si="7"/>
        <v/>
      </c>
      <c r="W21" s="11" t="str">
        <f t="shared" si="7"/>
        <v/>
      </c>
      <c r="X21" s="11" t="str">
        <f t="shared" si="7"/>
        <v/>
      </c>
      <c r="Y21" s="11" t="str">
        <f t="shared" si="7"/>
        <v/>
      </c>
      <c r="Z21" s="11" t="str">
        <f t="shared" si="7"/>
        <v/>
      </c>
      <c r="AA21" s="11" t="str">
        <f t="shared" si="7"/>
        <v/>
      </c>
      <c r="AB21" s="11" t="str">
        <f t="shared" si="7"/>
        <v/>
      </c>
      <c r="AC21" s="11" t="str">
        <f t="shared" si="7"/>
        <v/>
      </c>
      <c r="AD21" s="11" t="str">
        <f t="shared" si="7"/>
        <v/>
      </c>
      <c r="AE21" s="11" t="str">
        <f t="shared" si="7"/>
        <v/>
      </c>
    </row>
    <row r="22" spans="1:31" s="8" customFormat="1" ht="34.5" customHeight="1">
      <c r="A22" s="4" t="s">
        <v>63</v>
      </c>
      <c r="B22" s="4" t="s">
        <v>43</v>
      </c>
      <c r="C22" s="5">
        <v>46265</v>
      </c>
      <c r="D22" s="5">
        <f t="shared" si="5"/>
        <v>46265</v>
      </c>
      <c r="E22" s="20">
        <v>1</v>
      </c>
      <c r="F22" s="6" t="s">
        <v>44</v>
      </c>
      <c r="G22" s="4" t="s">
        <v>98</v>
      </c>
      <c r="H22" s="7" t="str">
        <f t="shared" si="6"/>
        <v/>
      </c>
      <c r="I22" s="7" t="str">
        <f t="shared" si="6"/>
        <v/>
      </c>
      <c r="J22" s="7" t="str">
        <f t="shared" si="6"/>
        <v/>
      </c>
      <c r="K22" s="7" t="str">
        <f t="shared" si="6"/>
        <v/>
      </c>
      <c r="L22" s="7" t="str">
        <f t="shared" si="6"/>
        <v/>
      </c>
      <c r="M22" s="7" t="str">
        <f t="shared" si="6"/>
        <v/>
      </c>
      <c r="N22" s="7" t="str">
        <f t="shared" si="6"/>
        <v>■</v>
      </c>
      <c r="O22" s="7" t="str">
        <f t="shared" si="6"/>
        <v/>
      </c>
      <c r="P22" s="7" t="str">
        <f t="shared" si="6"/>
        <v/>
      </c>
      <c r="Q22" s="7" t="str">
        <f t="shared" si="6"/>
        <v/>
      </c>
      <c r="R22" s="7" t="str">
        <f t="shared" si="7"/>
        <v/>
      </c>
      <c r="S22" s="7" t="str">
        <f t="shared" si="7"/>
        <v/>
      </c>
      <c r="T22" s="7" t="str">
        <f t="shared" si="7"/>
        <v/>
      </c>
      <c r="U22" s="7" t="str">
        <f t="shared" si="7"/>
        <v/>
      </c>
      <c r="V22" s="7" t="str">
        <f t="shared" si="7"/>
        <v/>
      </c>
      <c r="W22" s="7" t="str">
        <f t="shared" si="7"/>
        <v/>
      </c>
      <c r="X22" s="7" t="str">
        <f t="shared" si="7"/>
        <v/>
      </c>
      <c r="Y22" s="7" t="str">
        <f t="shared" si="7"/>
        <v/>
      </c>
      <c r="Z22" s="7" t="str">
        <f t="shared" si="7"/>
        <v/>
      </c>
      <c r="AA22" s="7" t="str">
        <f t="shared" si="7"/>
        <v/>
      </c>
      <c r="AB22" s="7" t="str">
        <f t="shared" si="7"/>
        <v/>
      </c>
      <c r="AC22" s="7" t="str">
        <f t="shared" si="7"/>
        <v/>
      </c>
      <c r="AD22" s="7" t="str">
        <f t="shared" si="7"/>
        <v/>
      </c>
      <c r="AE22" s="7" t="str">
        <f t="shared" si="7"/>
        <v/>
      </c>
    </row>
    <row r="23" spans="1:31" s="8" customFormat="1" ht="34.5" customHeight="1">
      <c r="A23" s="4" t="s">
        <v>64</v>
      </c>
      <c r="B23" s="4" t="s">
        <v>43</v>
      </c>
      <c r="C23" s="5">
        <v>46266</v>
      </c>
      <c r="D23" s="5">
        <f t="shared" si="5"/>
        <v>46269</v>
      </c>
      <c r="E23" s="20">
        <v>4</v>
      </c>
      <c r="F23" s="6" t="s">
        <v>50</v>
      </c>
      <c r="G23" s="4" t="s">
        <v>99</v>
      </c>
      <c r="H23" s="7" t="str">
        <f t="shared" si="6"/>
        <v/>
      </c>
      <c r="I23" s="7" t="str">
        <f t="shared" si="6"/>
        <v/>
      </c>
      <c r="J23" s="7" t="str">
        <f t="shared" si="6"/>
        <v/>
      </c>
      <c r="K23" s="7" t="str">
        <f t="shared" si="6"/>
        <v/>
      </c>
      <c r="L23" s="7" t="str">
        <f t="shared" si="6"/>
        <v/>
      </c>
      <c r="M23" s="7" t="str">
        <f t="shared" si="6"/>
        <v/>
      </c>
      <c r="N23" s="7" t="str">
        <f t="shared" si="6"/>
        <v>■</v>
      </c>
      <c r="O23" s="7" t="str">
        <f t="shared" si="6"/>
        <v>■</v>
      </c>
      <c r="P23" s="7" t="str">
        <f t="shared" si="6"/>
        <v/>
      </c>
      <c r="Q23" s="7" t="str">
        <f t="shared" si="6"/>
        <v/>
      </c>
      <c r="R23" s="7" t="str">
        <f t="shared" si="7"/>
        <v/>
      </c>
      <c r="S23" s="7" t="str">
        <f t="shared" si="7"/>
        <v/>
      </c>
      <c r="T23" s="7" t="str">
        <f t="shared" si="7"/>
        <v/>
      </c>
      <c r="U23" s="7" t="str">
        <f t="shared" si="7"/>
        <v/>
      </c>
      <c r="V23" s="7" t="str">
        <f t="shared" si="7"/>
        <v/>
      </c>
      <c r="W23" s="7" t="str">
        <f t="shared" si="7"/>
        <v/>
      </c>
      <c r="X23" s="7" t="str">
        <f t="shared" si="7"/>
        <v/>
      </c>
      <c r="Y23" s="7" t="str">
        <f t="shared" si="7"/>
        <v/>
      </c>
      <c r="Z23" s="7" t="str">
        <f t="shared" si="7"/>
        <v/>
      </c>
      <c r="AA23" s="7" t="str">
        <f t="shared" si="7"/>
        <v/>
      </c>
      <c r="AB23" s="7" t="str">
        <f t="shared" si="7"/>
        <v/>
      </c>
      <c r="AC23" s="7" t="str">
        <f t="shared" si="7"/>
        <v/>
      </c>
      <c r="AD23" s="7" t="str">
        <f t="shared" si="7"/>
        <v/>
      </c>
      <c r="AE23" s="7" t="str">
        <f t="shared" si="7"/>
        <v/>
      </c>
    </row>
    <row r="24" spans="1:31" s="8" customFormat="1" ht="34.5" customHeight="1">
      <c r="A24" s="4" t="s">
        <v>66</v>
      </c>
      <c r="B24" s="4" t="s">
        <v>67</v>
      </c>
      <c r="C24" s="5">
        <v>46237</v>
      </c>
      <c r="D24" s="5">
        <f t="shared" si="5"/>
        <v>46255</v>
      </c>
      <c r="E24" s="20">
        <v>19</v>
      </c>
      <c r="F24" s="6" t="s">
        <v>44</v>
      </c>
      <c r="G24" s="4" t="s">
        <v>100</v>
      </c>
      <c r="H24" s="7" t="str">
        <f t="shared" si="6"/>
        <v/>
      </c>
      <c r="I24" s="7" t="str">
        <f t="shared" si="6"/>
        <v/>
      </c>
      <c r="J24" s="7" t="str">
        <f t="shared" si="6"/>
        <v>■</v>
      </c>
      <c r="K24" s="7" t="str">
        <f t="shared" si="6"/>
        <v>■</v>
      </c>
      <c r="L24" s="7" t="str">
        <f t="shared" si="6"/>
        <v>■</v>
      </c>
      <c r="M24" s="7" t="str">
        <f t="shared" si="6"/>
        <v>■</v>
      </c>
      <c r="N24" s="7" t="str">
        <f t="shared" si="6"/>
        <v/>
      </c>
      <c r="O24" s="7" t="str">
        <f t="shared" si="6"/>
        <v/>
      </c>
      <c r="P24" s="7" t="str">
        <f t="shared" si="6"/>
        <v/>
      </c>
      <c r="Q24" s="7" t="str">
        <f t="shared" si="6"/>
        <v/>
      </c>
      <c r="R24" s="7" t="str">
        <f t="shared" si="7"/>
        <v/>
      </c>
      <c r="S24" s="7" t="str">
        <f t="shared" si="7"/>
        <v/>
      </c>
      <c r="T24" s="7" t="str">
        <f t="shared" si="7"/>
        <v/>
      </c>
      <c r="U24" s="7" t="str">
        <f t="shared" si="7"/>
        <v/>
      </c>
      <c r="V24" s="7" t="str">
        <f t="shared" si="7"/>
        <v/>
      </c>
      <c r="W24" s="7" t="str">
        <f t="shared" si="7"/>
        <v/>
      </c>
      <c r="X24" s="7" t="str">
        <f t="shared" si="7"/>
        <v/>
      </c>
      <c r="Y24" s="7" t="str">
        <f t="shared" si="7"/>
        <v/>
      </c>
      <c r="Z24" s="7" t="str">
        <f t="shared" si="7"/>
        <v/>
      </c>
      <c r="AA24" s="7" t="str">
        <f t="shared" si="7"/>
        <v/>
      </c>
      <c r="AB24" s="7" t="str">
        <f t="shared" si="7"/>
        <v/>
      </c>
      <c r="AC24" s="7" t="str">
        <f t="shared" si="7"/>
        <v/>
      </c>
      <c r="AD24" s="7" t="str">
        <f t="shared" si="7"/>
        <v/>
      </c>
      <c r="AE24" s="7" t="str">
        <f t="shared" si="7"/>
        <v/>
      </c>
    </row>
    <row r="25" spans="1:31" s="8" customFormat="1" ht="34.5" customHeight="1">
      <c r="A25" s="4" t="s">
        <v>69</v>
      </c>
      <c r="B25" s="4" t="s">
        <v>47</v>
      </c>
      <c r="C25" s="5">
        <v>46258</v>
      </c>
      <c r="D25" s="5">
        <f t="shared" si="5"/>
        <v>46262</v>
      </c>
      <c r="E25" s="20">
        <v>5</v>
      </c>
      <c r="F25" s="6" t="s">
        <v>50</v>
      </c>
      <c r="G25" s="30" t="s">
        <v>124</v>
      </c>
      <c r="H25" s="7" t="str">
        <f t="shared" si="6"/>
        <v/>
      </c>
      <c r="I25" s="7" t="str">
        <f t="shared" si="6"/>
        <v/>
      </c>
      <c r="J25" s="7" t="str">
        <f t="shared" si="6"/>
        <v/>
      </c>
      <c r="K25" s="7" t="str">
        <f t="shared" si="6"/>
        <v/>
      </c>
      <c r="L25" s="7" t="str">
        <f t="shared" si="6"/>
        <v/>
      </c>
      <c r="M25" s="7" t="str">
        <f t="shared" si="6"/>
        <v>■</v>
      </c>
      <c r="N25" s="7" t="str">
        <f t="shared" si="6"/>
        <v>■</v>
      </c>
      <c r="O25" s="7" t="str">
        <f t="shared" si="6"/>
        <v/>
      </c>
      <c r="P25" s="7" t="str">
        <f t="shared" si="6"/>
        <v/>
      </c>
      <c r="Q25" s="7" t="str">
        <f t="shared" si="6"/>
        <v/>
      </c>
      <c r="R25" s="7" t="str">
        <f t="shared" si="7"/>
        <v/>
      </c>
      <c r="S25" s="7" t="str">
        <f t="shared" si="7"/>
        <v/>
      </c>
      <c r="T25" s="7" t="str">
        <f t="shared" si="7"/>
        <v/>
      </c>
      <c r="U25" s="7" t="str">
        <f t="shared" si="7"/>
        <v/>
      </c>
      <c r="V25" s="7" t="str">
        <f t="shared" si="7"/>
        <v/>
      </c>
      <c r="W25" s="7" t="str">
        <f t="shared" si="7"/>
        <v/>
      </c>
      <c r="X25" s="7" t="str">
        <f t="shared" si="7"/>
        <v/>
      </c>
      <c r="Y25" s="7" t="str">
        <f t="shared" si="7"/>
        <v/>
      </c>
      <c r="Z25" s="7" t="str">
        <f t="shared" si="7"/>
        <v/>
      </c>
      <c r="AA25" s="7" t="str">
        <f t="shared" si="7"/>
        <v/>
      </c>
      <c r="AB25" s="7" t="str">
        <f t="shared" si="7"/>
        <v/>
      </c>
      <c r="AC25" s="7" t="str">
        <f t="shared" si="7"/>
        <v/>
      </c>
      <c r="AD25" s="7" t="str">
        <f t="shared" si="7"/>
        <v/>
      </c>
      <c r="AE25" s="7" t="str">
        <f t="shared" si="7"/>
        <v/>
      </c>
    </row>
    <row r="26" spans="1:31" s="8" customFormat="1" ht="34.5" customHeight="1">
      <c r="A26" s="4" t="s">
        <v>70</v>
      </c>
      <c r="B26" s="4" t="s">
        <v>67</v>
      </c>
      <c r="C26" s="5">
        <v>46272</v>
      </c>
      <c r="D26" s="5">
        <f t="shared" si="5"/>
        <v>46280</v>
      </c>
      <c r="E26" s="20">
        <v>7</v>
      </c>
      <c r="F26" s="6" t="s">
        <v>50</v>
      </c>
      <c r="G26" s="4" t="s">
        <v>101</v>
      </c>
      <c r="H26" s="7" t="str">
        <f t="shared" si="6"/>
        <v/>
      </c>
      <c r="I26" s="7" t="str">
        <f t="shared" si="6"/>
        <v/>
      </c>
      <c r="J26" s="7" t="str">
        <f t="shared" si="6"/>
        <v/>
      </c>
      <c r="K26" s="7" t="str">
        <f t="shared" si="6"/>
        <v/>
      </c>
      <c r="L26" s="7" t="str">
        <f t="shared" si="6"/>
        <v/>
      </c>
      <c r="M26" s="7" t="str">
        <f t="shared" si="6"/>
        <v/>
      </c>
      <c r="N26" s="7" t="str">
        <f t="shared" si="6"/>
        <v/>
      </c>
      <c r="O26" s="7" t="str">
        <f t="shared" si="6"/>
        <v>■</v>
      </c>
      <c r="P26" s="7" t="str">
        <f t="shared" si="6"/>
        <v>■</v>
      </c>
      <c r="Q26" s="7" t="str">
        <f t="shared" si="6"/>
        <v/>
      </c>
      <c r="R26" s="7" t="str">
        <f t="shared" si="7"/>
        <v/>
      </c>
      <c r="S26" s="7" t="str">
        <f t="shared" si="7"/>
        <v/>
      </c>
      <c r="T26" s="7" t="str">
        <f t="shared" si="7"/>
        <v/>
      </c>
      <c r="U26" s="7" t="str">
        <f t="shared" si="7"/>
        <v/>
      </c>
      <c r="V26" s="7" t="str">
        <f t="shared" si="7"/>
        <v/>
      </c>
      <c r="W26" s="7" t="str">
        <f t="shared" si="7"/>
        <v/>
      </c>
      <c r="X26" s="7" t="str">
        <f t="shared" si="7"/>
        <v/>
      </c>
      <c r="Y26" s="7" t="str">
        <f t="shared" si="7"/>
        <v/>
      </c>
      <c r="Z26" s="7" t="str">
        <f t="shared" si="7"/>
        <v/>
      </c>
      <c r="AA26" s="7" t="str">
        <f t="shared" si="7"/>
        <v/>
      </c>
      <c r="AB26" s="7" t="str">
        <f t="shared" si="7"/>
        <v/>
      </c>
      <c r="AC26" s="7" t="str">
        <f t="shared" si="7"/>
        <v/>
      </c>
      <c r="AD26" s="7" t="str">
        <f t="shared" si="7"/>
        <v/>
      </c>
      <c r="AE26" s="7" t="str">
        <f t="shared" si="7"/>
        <v/>
      </c>
    </row>
    <row r="27" spans="1:31" s="8" customFormat="1" ht="34.5" customHeight="1">
      <c r="A27" s="4" t="s">
        <v>72</v>
      </c>
      <c r="B27" s="4" t="s">
        <v>47</v>
      </c>
      <c r="C27" s="5">
        <v>46281</v>
      </c>
      <c r="D27" s="52">
        <f t="shared" si="5"/>
        <v>46286</v>
      </c>
      <c r="E27" s="20">
        <v>4</v>
      </c>
      <c r="F27" s="6" t="s">
        <v>50</v>
      </c>
      <c r="G27" s="4" t="s">
        <v>73</v>
      </c>
      <c r="H27" s="7" t="str">
        <f t="shared" si="6"/>
        <v/>
      </c>
      <c r="I27" s="7" t="str">
        <f t="shared" si="6"/>
        <v/>
      </c>
      <c r="J27" s="7" t="str">
        <f t="shared" si="6"/>
        <v/>
      </c>
      <c r="K27" s="7" t="str">
        <f t="shared" si="6"/>
        <v/>
      </c>
      <c r="L27" s="7" t="str">
        <f t="shared" si="6"/>
        <v/>
      </c>
      <c r="M27" s="7" t="str">
        <f t="shared" si="6"/>
        <v/>
      </c>
      <c r="N27" s="7" t="str">
        <f t="shared" si="6"/>
        <v/>
      </c>
      <c r="O27" s="7" t="str">
        <f t="shared" si="6"/>
        <v/>
      </c>
      <c r="P27" s="7" t="str">
        <f t="shared" si="6"/>
        <v/>
      </c>
      <c r="Q27" s="7" t="str">
        <f t="shared" si="6"/>
        <v>■</v>
      </c>
      <c r="R27" s="7" t="str">
        <f t="shared" si="7"/>
        <v/>
      </c>
      <c r="S27" s="7" t="str">
        <f t="shared" si="7"/>
        <v/>
      </c>
      <c r="T27" s="7" t="str">
        <f t="shared" si="7"/>
        <v/>
      </c>
      <c r="U27" s="7" t="str">
        <f t="shared" si="7"/>
        <v/>
      </c>
      <c r="V27" s="7" t="str">
        <f t="shared" si="7"/>
        <v/>
      </c>
      <c r="W27" s="7" t="str">
        <f t="shared" si="7"/>
        <v/>
      </c>
      <c r="X27" s="7" t="str">
        <f t="shared" si="7"/>
        <v/>
      </c>
      <c r="Y27" s="7" t="str">
        <f t="shared" si="7"/>
        <v/>
      </c>
      <c r="Z27" s="7" t="str">
        <f t="shared" si="7"/>
        <v/>
      </c>
      <c r="AA27" s="7" t="str">
        <f t="shared" si="7"/>
        <v/>
      </c>
      <c r="AB27" s="7" t="str">
        <f t="shared" si="7"/>
        <v/>
      </c>
      <c r="AC27" s="7" t="str">
        <f t="shared" si="7"/>
        <v/>
      </c>
      <c r="AD27" s="7" t="str">
        <f t="shared" si="7"/>
        <v/>
      </c>
      <c r="AE27" s="7" t="str">
        <f t="shared" si="7"/>
        <v/>
      </c>
    </row>
    <row r="28" spans="1:31" s="8" customFormat="1" ht="34.5" customHeight="1">
      <c r="A28" s="34" t="s">
        <v>117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</row>
    <row r="29" spans="1:31" s="8" customFormat="1" ht="34.5" customHeight="1">
      <c r="A29" s="4" t="s">
        <v>74</v>
      </c>
      <c r="B29" s="4" t="s">
        <v>75</v>
      </c>
      <c r="C29" s="5">
        <v>46274</v>
      </c>
      <c r="D29" s="52">
        <f>IF(E29=0,C29,IF(F29="Working days",WORKDAY(C29,E29-1),C29+E29-1))</f>
        <v>46318</v>
      </c>
      <c r="E29" s="20">
        <v>45</v>
      </c>
      <c r="F29" s="6" t="s">
        <v>44</v>
      </c>
      <c r="G29" s="4"/>
      <c r="H29" s="7" t="str">
        <f t="shared" ref="H29:Q30" si="8">IF(AND(H$3&lt;=$D29,H$3+6&gt;=$C29),IF($E29=0,"◆","■"),"")</f>
        <v/>
      </c>
      <c r="I29" s="7" t="str">
        <f t="shared" si="8"/>
        <v/>
      </c>
      <c r="J29" s="7" t="str">
        <f t="shared" si="8"/>
        <v/>
      </c>
      <c r="K29" s="7" t="str">
        <f t="shared" si="8"/>
        <v/>
      </c>
      <c r="L29" s="7" t="str">
        <f t="shared" si="8"/>
        <v/>
      </c>
      <c r="M29" s="7" t="str">
        <f t="shared" si="8"/>
        <v/>
      </c>
      <c r="N29" s="7" t="str">
        <f t="shared" si="8"/>
        <v/>
      </c>
      <c r="O29" s="7" t="str">
        <f t="shared" si="8"/>
        <v/>
      </c>
      <c r="P29" s="7" t="str">
        <f t="shared" si="8"/>
        <v>■</v>
      </c>
      <c r="Q29" s="7" t="str">
        <f t="shared" si="8"/>
        <v>■</v>
      </c>
      <c r="R29" s="7" t="str">
        <f t="shared" ref="R29:AE30" si="9">IF(AND(R$3&lt;=$D29,R$3+6&gt;=$C29),IF($E29=0,"◆","■"),"")</f>
        <v>■</v>
      </c>
      <c r="S29" s="7" t="str">
        <f t="shared" si="9"/>
        <v>■</v>
      </c>
      <c r="T29" s="7" t="str">
        <f t="shared" si="9"/>
        <v>■</v>
      </c>
      <c r="U29" s="7" t="str">
        <f t="shared" si="9"/>
        <v>■</v>
      </c>
      <c r="V29" s="7" t="str">
        <f t="shared" si="9"/>
        <v>■</v>
      </c>
      <c r="W29" s="7" t="str">
        <f t="shared" si="9"/>
        <v/>
      </c>
      <c r="X29" s="7" t="str">
        <f t="shared" si="9"/>
        <v/>
      </c>
      <c r="Y29" s="7" t="str">
        <f t="shared" si="9"/>
        <v/>
      </c>
      <c r="Z29" s="7" t="str">
        <f t="shared" si="9"/>
        <v/>
      </c>
      <c r="AA29" s="7" t="str">
        <f t="shared" si="9"/>
        <v/>
      </c>
      <c r="AB29" s="7" t="str">
        <f t="shared" si="9"/>
        <v/>
      </c>
      <c r="AC29" s="7" t="str">
        <f t="shared" si="9"/>
        <v/>
      </c>
      <c r="AD29" s="7" t="str">
        <f t="shared" si="9"/>
        <v/>
      </c>
      <c r="AE29" s="7" t="str">
        <f t="shared" si="9"/>
        <v/>
      </c>
    </row>
    <row r="30" spans="1:31" s="8" customFormat="1" ht="34.5" customHeight="1">
      <c r="A30" s="4" t="s">
        <v>76</v>
      </c>
      <c r="B30" s="4" t="s">
        <v>75</v>
      </c>
      <c r="C30" s="5">
        <v>46287</v>
      </c>
      <c r="D30" s="5">
        <f>IF(E30=0,C30,IF(F30="Working days",WORKDAY(C30,E30-1),C30+E30-1))</f>
        <v>46311</v>
      </c>
      <c r="E30" s="20">
        <v>25</v>
      </c>
      <c r="F30" s="6" t="s">
        <v>44</v>
      </c>
      <c r="G30" s="4"/>
      <c r="H30" s="7" t="str">
        <f t="shared" si="8"/>
        <v/>
      </c>
      <c r="I30" s="7" t="str">
        <f t="shared" si="8"/>
        <v/>
      </c>
      <c r="J30" s="7" t="str">
        <f t="shared" si="8"/>
        <v/>
      </c>
      <c r="K30" s="7" t="str">
        <f t="shared" si="8"/>
        <v/>
      </c>
      <c r="L30" s="7" t="str">
        <f t="shared" si="8"/>
        <v/>
      </c>
      <c r="M30" s="7" t="str">
        <f t="shared" si="8"/>
        <v/>
      </c>
      <c r="N30" s="7" t="str">
        <f t="shared" si="8"/>
        <v/>
      </c>
      <c r="O30" s="7" t="str">
        <f t="shared" si="8"/>
        <v/>
      </c>
      <c r="P30" s="7" t="str">
        <f t="shared" si="8"/>
        <v/>
      </c>
      <c r="Q30" s="7" t="str">
        <f t="shared" si="8"/>
        <v>■</v>
      </c>
      <c r="R30" s="7" t="str">
        <f t="shared" si="9"/>
        <v>■</v>
      </c>
      <c r="S30" s="7" t="str">
        <f t="shared" si="9"/>
        <v>■</v>
      </c>
      <c r="T30" s="7" t="str">
        <f t="shared" si="9"/>
        <v>■</v>
      </c>
      <c r="U30" s="7" t="str">
        <f t="shared" si="9"/>
        <v>■</v>
      </c>
      <c r="V30" s="7" t="str">
        <f t="shared" si="9"/>
        <v/>
      </c>
      <c r="W30" s="7" t="str">
        <f t="shared" si="9"/>
        <v/>
      </c>
      <c r="X30" s="7" t="str">
        <f t="shared" si="9"/>
        <v/>
      </c>
      <c r="Y30" s="7" t="str">
        <f t="shared" si="9"/>
        <v/>
      </c>
      <c r="Z30" s="7" t="str">
        <f t="shared" si="9"/>
        <v/>
      </c>
      <c r="AA30" s="7" t="str">
        <f t="shared" si="9"/>
        <v/>
      </c>
      <c r="AB30" s="7" t="str">
        <f t="shared" si="9"/>
        <v/>
      </c>
      <c r="AC30" s="7" t="str">
        <f t="shared" si="9"/>
        <v/>
      </c>
      <c r="AD30" s="7" t="str">
        <f t="shared" si="9"/>
        <v/>
      </c>
      <c r="AE30" s="7" t="str">
        <f t="shared" si="9"/>
        <v/>
      </c>
    </row>
    <row r="31" spans="1:31" s="8" customFormat="1" ht="34.5" customHeight="1">
      <c r="A31" s="34" t="s">
        <v>77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</row>
    <row r="32" spans="1:31" s="8" customFormat="1" ht="34.5" customHeight="1">
      <c r="A32" s="9" t="s">
        <v>78</v>
      </c>
      <c r="B32" s="9" t="s">
        <v>79</v>
      </c>
      <c r="C32" s="10">
        <v>46320</v>
      </c>
      <c r="D32" s="10">
        <f>IF(E32=0,C32,IF(F32="Working days",WORKDAY(C32,E32-1),C32+E32-1))</f>
        <v>46320</v>
      </c>
      <c r="E32" s="19">
        <v>0</v>
      </c>
      <c r="F32" s="9" t="s">
        <v>41</v>
      </c>
      <c r="G32" s="9" t="s">
        <v>102</v>
      </c>
      <c r="H32" s="11" t="str">
        <f t="shared" ref="H32:Q34" si="10">IF(AND(H$3&lt;=$D32,H$3+6&gt;=$C32),IF($E32=0,"◆","■"),"")</f>
        <v/>
      </c>
      <c r="I32" s="11" t="str">
        <f t="shared" si="10"/>
        <v/>
      </c>
      <c r="J32" s="11" t="str">
        <f t="shared" si="10"/>
        <v/>
      </c>
      <c r="K32" s="11" t="str">
        <f t="shared" si="10"/>
        <v/>
      </c>
      <c r="L32" s="11" t="str">
        <f t="shared" si="10"/>
        <v/>
      </c>
      <c r="M32" s="11" t="str">
        <f t="shared" si="10"/>
        <v/>
      </c>
      <c r="N32" s="11" t="str">
        <f t="shared" si="10"/>
        <v/>
      </c>
      <c r="O32" s="11" t="str">
        <f t="shared" si="10"/>
        <v/>
      </c>
      <c r="P32" s="11" t="str">
        <f t="shared" si="10"/>
        <v/>
      </c>
      <c r="Q32" s="11" t="str">
        <f t="shared" si="10"/>
        <v/>
      </c>
      <c r="R32" s="11" t="str">
        <f t="shared" ref="R32:AE34" si="11">IF(AND(R$3&lt;=$D32,R$3+6&gt;=$C32),IF($E32=0,"◆","■"),"")</f>
        <v/>
      </c>
      <c r="S32" s="11" t="str">
        <f t="shared" si="11"/>
        <v/>
      </c>
      <c r="T32" s="11" t="str">
        <f t="shared" si="11"/>
        <v/>
      </c>
      <c r="U32" s="11" t="str">
        <f t="shared" si="11"/>
        <v/>
      </c>
      <c r="V32" s="11" t="str">
        <f t="shared" si="11"/>
        <v>◆</v>
      </c>
      <c r="W32" s="11" t="str">
        <f t="shared" si="11"/>
        <v/>
      </c>
      <c r="X32" s="11" t="str">
        <f t="shared" si="11"/>
        <v/>
      </c>
      <c r="Y32" s="11" t="str">
        <f t="shared" si="11"/>
        <v/>
      </c>
      <c r="Z32" s="11" t="str">
        <f t="shared" si="11"/>
        <v/>
      </c>
      <c r="AA32" s="11" t="str">
        <f t="shared" si="11"/>
        <v/>
      </c>
      <c r="AB32" s="11" t="str">
        <f t="shared" si="11"/>
        <v/>
      </c>
      <c r="AC32" s="11" t="str">
        <f t="shared" si="11"/>
        <v/>
      </c>
      <c r="AD32" s="11" t="str">
        <f t="shared" si="11"/>
        <v/>
      </c>
      <c r="AE32" s="11" t="str">
        <f t="shared" si="11"/>
        <v/>
      </c>
    </row>
    <row r="33" spans="1:31" s="8" customFormat="1" ht="34.5" customHeight="1">
      <c r="A33" s="4" t="s">
        <v>81</v>
      </c>
      <c r="B33" s="4" t="s">
        <v>82</v>
      </c>
      <c r="C33" s="5">
        <v>46320</v>
      </c>
      <c r="D33" s="5">
        <f>IF(E33=0,C33,IF(F33="Working days",WORKDAY(C33,E33-1),C33+E33-1))</f>
        <v>46359</v>
      </c>
      <c r="E33" s="20">
        <v>40</v>
      </c>
      <c r="F33" s="6" t="s">
        <v>44</v>
      </c>
      <c r="G33" s="4" t="s">
        <v>125</v>
      </c>
      <c r="H33" s="7" t="str">
        <f t="shared" si="10"/>
        <v/>
      </c>
      <c r="I33" s="7" t="str">
        <f t="shared" si="10"/>
        <v/>
      </c>
      <c r="J33" s="7" t="str">
        <f t="shared" si="10"/>
        <v/>
      </c>
      <c r="K33" s="7" t="str">
        <f t="shared" si="10"/>
        <v/>
      </c>
      <c r="L33" s="7" t="str">
        <f t="shared" si="10"/>
        <v/>
      </c>
      <c r="M33" s="7" t="str">
        <f t="shared" si="10"/>
        <v/>
      </c>
      <c r="N33" s="7" t="str">
        <f t="shared" si="10"/>
        <v/>
      </c>
      <c r="O33" s="7" t="str">
        <f t="shared" si="10"/>
        <v/>
      </c>
      <c r="P33" s="7" t="str">
        <f t="shared" si="10"/>
        <v/>
      </c>
      <c r="Q33" s="7" t="str">
        <f t="shared" si="10"/>
        <v/>
      </c>
      <c r="R33" s="7" t="str">
        <f t="shared" si="11"/>
        <v/>
      </c>
      <c r="S33" s="7" t="str">
        <f t="shared" si="11"/>
        <v/>
      </c>
      <c r="T33" s="7" t="str">
        <f t="shared" si="11"/>
        <v/>
      </c>
      <c r="U33" s="7" t="str">
        <f t="shared" si="11"/>
        <v/>
      </c>
      <c r="V33" s="7" t="str">
        <f t="shared" si="11"/>
        <v>■</v>
      </c>
      <c r="W33" s="7" t="str">
        <f t="shared" si="11"/>
        <v>■</v>
      </c>
      <c r="X33" s="7" t="str">
        <f t="shared" si="11"/>
        <v>■</v>
      </c>
      <c r="Y33" s="7" t="str">
        <f t="shared" si="11"/>
        <v>■</v>
      </c>
      <c r="Z33" s="7" t="str">
        <f t="shared" si="11"/>
        <v>■</v>
      </c>
      <c r="AA33" s="7" t="str">
        <f t="shared" si="11"/>
        <v>■</v>
      </c>
      <c r="AB33" s="7" t="str">
        <f t="shared" si="11"/>
        <v>■</v>
      </c>
      <c r="AC33" s="7" t="str">
        <f t="shared" si="11"/>
        <v/>
      </c>
      <c r="AD33" s="7" t="str">
        <f t="shared" si="11"/>
        <v/>
      </c>
      <c r="AE33" s="7" t="str">
        <f t="shared" si="11"/>
        <v/>
      </c>
    </row>
    <row r="34" spans="1:31" s="8" customFormat="1" ht="34.5" customHeight="1">
      <c r="A34" s="9" t="s">
        <v>83</v>
      </c>
      <c r="B34" s="9" t="s">
        <v>84</v>
      </c>
      <c r="C34" s="10">
        <v>46359</v>
      </c>
      <c r="D34" s="55">
        <f>IF(E34=0,C34,IF(F34="Working days",WORKDAY(C34,E34-1),C34+E34-1))</f>
        <v>46363</v>
      </c>
      <c r="E34" s="19">
        <v>5</v>
      </c>
      <c r="F34" s="9" t="s">
        <v>41</v>
      </c>
      <c r="G34" s="9"/>
      <c r="H34" s="11" t="str">
        <f t="shared" si="10"/>
        <v/>
      </c>
      <c r="I34" s="11" t="str">
        <f t="shared" si="10"/>
        <v/>
      </c>
      <c r="J34" s="11" t="str">
        <f t="shared" si="10"/>
        <v/>
      </c>
      <c r="K34" s="11" t="str">
        <f t="shared" si="10"/>
        <v/>
      </c>
      <c r="L34" s="11" t="str">
        <f t="shared" si="10"/>
        <v/>
      </c>
      <c r="M34" s="11" t="str">
        <f t="shared" si="10"/>
        <v/>
      </c>
      <c r="N34" s="11" t="str">
        <f t="shared" si="10"/>
        <v/>
      </c>
      <c r="O34" s="11" t="str">
        <f t="shared" si="10"/>
        <v/>
      </c>
      <c r="P34" s="11" t="str">
        <f t="shared" si="10"/>
        <v/>
      </c>
      <c r="Q34" s="11" t="str">
        <f t="shared" si="10"/>
        <v/>
      </c>
      <c r="R34" s="11" t="str">
        <f t="shared" si="11"/>
        <v/>
      </c>
      <c r="S34" s="11" t="str">
        <f t="shared" si="11"/>
        <v/>
      </c>
      <c r="T34" s="11" t="str">
        <f t="shared" si="11"/>
        <v/>
      </c>
      <c r="U34" s="11" t="str">
        <f t="shared" si="11"/>
        <v/>
      </c>
      <c r="V34" s="11" t="str">
        <f t="shared" si="11"/>
        <v/>
      </c>
      <c r="W34" s="11" t="str">
        <f t="shared" si="11"/>
        <v/>
      </c>
      <c r="X34" s="11" t="str">
        <f t="shared" si="11"/>
        <v/>
      </c>
      <c r="Y34" s="11" t="str">
        <f t="shared" si="11"/>
        <v/>
      </c>
      <c r="Z34" s="11" t="str">
        <f t="shared" si="11"/>
        <v/>
      </c>
      <c r="AA34" s="11" t="str">
        <f t="shared" si="11"/>
        <v/>
      </c>
      <c r="AB34" s="11" t="str">
        <f t="shared" si="11"/>
        <v>■</v>
      </c>
      <c r="AC34" s="11" t="str">
        <f t="shared" si="11"/>
        <v/>
      </c>
      <c r="AD34" s="11" t="str">
        <f t="shared" si="11"/>
        <v/>
      </c>
      <c r="AE34" s="11" t="str">
        <f t="shared" si="11"/>
        <v/>
      </c>
    </row>
    <row r="35" spans="1:31" s="8" customFormat="1" ht="34.5" customHeight="1">
      <c r="A35" s="34" t="s">
        <v>85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</row>
    <row r="36" spans="1:31" s="8" customFormat="1" ht="39.5" customHeight="1">
      <c r="A36" s="4" t="s">
        <v>86</v>
      </c>
      <c r="B36" s="4" t="s">
        <v>87</v>
      </c>
      <c r="C36" s="5">
        <v>46360</v>
      </c>
      <c r="D36" s="5">
        <f>IF(E36=0,C36,IF(F36="Working days",WORKDAY(C36,E36-1),C36+E36-1))</f>
        <v>46374</v>
      </c>
      <c r="E36" s="20">
        <v>15</v>
      </c>
      <c r="F36" s="6" t="s">
        <v>44</v>
      </c>
      <c r="G36" s="4" t="s">
        <v>88</v>
      </c>
      <c r="H36" s="7" t="str">
        <f t="shared" ref="H36:Q38" si="12">IF(AND(H$3&lt;=$D36,H$3+6&gt;=$C36),IF($E36=0,"◆","■"),"")</f>
        <v/>
      </c>
      <c r="I36" s="7" t="str">
        <f t="shared" si="12"/>
        <v/>
      </c>
      <c r="J36" s="7" t="str">
        <f t="shared" si="12"/>
        <v/>
      </c>
      <c r="K36" s="7" t="str">
        <f t="shared" si="12"/>
        <v/>
      </c>
      <c r="L36" s="7" t="str">
        <f t="shared" si="12"/>
        <v/>
      </c>
      <c r="M36" s="7" t="str">
        <f t="shared" si="12"/>
        <v/>
      </c>
      <c r="N36" s="7" t="str">
        <f t="shared" si="12"/>
        <v/>
      </c>
      <c r="O36" s="7" t="str">
        <f t="shared" si="12"/>
        <v/>
      </c>
      <c r="P36" s="7" t="str">
        <f t="shared" si="12"/>
        <v/>
      </c>
      <c r="Q36" s="7" t="str">
        <f t="shared" si="12"/>
        <v/>
      </c>
      <c r="R36" s="7" t="str">
        <f t="shared" ref="R36:AE38" si="13">IF(AND(R$3&lt;=$D36,R$3+6&gt;=$C36),IF($E36=0,"◆","■"),"")</f>
        <v/>
      </c>
      <c r="S36" s="7" t="str">
        <f t="shared" si="13"/>
        <v/>
      </c>
      <c r="T36" s="7" t="str">
        <f t="shared" si="13"/>
        <v/>
      </c>
      <c r="U36" s="7" t="str">
        <f t="shared" si="13"/>
        <v/>
      </c>
      <c r="V36" s="7" t="str">
        <f t="shared" si="13"/>
        <v/>
      </c>
      <c r="W36" s="7" t="str">
        <f t="shared" si="13"/>
        <v/>
      </c>
      <c r="X36" s="7" t="str">
        <f t="shared" si="13"/>
        <v/>
      </c>
      <c r="Y36" s="7" t="str">
        <f t="shared" si="13"/>
        <v/>
      </c>
      <c r="Z36" s="7" t="str">
        <f t="shared" si="13"/>
        <v/>
      </c>
      <c r="AA36" s="7" t="str">
        <f t="shared" si="13"/>
        <v/>
      </c>
      <c r="AB36" s="7" t="str">
        <f t="shared" si="13"/>
        <v>■</v>
      </c>
      <c r="AC36" s="7" t="str">
        <f t="shared" si="13"/>
        <v>■</v>
      </c>
      <c r="AD36" s="7" t="str">
        <f t="shared" si="13"/>
        <v>■</v>
      </c>
      <c r="AE36" s="7" t="str">
        <f t="shared" si="13"/>
        <v/>
      </c>
    </row>
    <row r="37" spans="1:31" ht="39.5" customHeight="1">
      <c r="A37" s="4" t="s">
        <v>89</v>
      </c>
      <c r="B37" s="4" t="s">
        <v>87</v>
      </c>
      <c r="C37" s="56">
        <v>46375</v>
      </c>
      <c r="D37" s="52">
        <f>IF(E37=0,C37,IF(F37="Working days",WORKDAY(C37,E37-1),C37+E37-1))</f>
        <v>46376</v>
      </c>
      <c r="E37" s="53">
        <v>2</v>
      </c>
      <c r="F37" s="6" t="s">
        <v>44</v>
      </c>
      <c r="G37" s="4" t="s">
        <v>90</v>
      </c>
      <c r="H37" s="7" t="str">
        <f t="shared" si="12"/>
        <v/>
      </c>
      <c r="I37" s="7" t="str">
        <f t="shared" si="12"/>
        <v/>
      </c>
      <c r="J37" s="7" t="str">
        <f t="shared" si="12"/>
        <v/>
      </c>
      <c r="K37" s="7" t="str">
        <f t="shared" si="12"/>
        <v/>
      </c>
      <c r="L37" s="7" t="str">
        <f t="shared" si="12"/>
        <v/>
      </c>
      <c r="M37" s="7" t="str">
        <f t="shared" si="12"/>
        <v/>
      </c>
      <c r="N37" s="7" t="str">
        <f t="shared" si="12"/>
        <v/>
      </c>
      <c r="O37" s="7" t="str">
        <f t="shared" si="12"/>
        <v/>
      </c>
      <c r="P37" s="7" t="str">
        <f t="shared" si="12"/>
        <v/>
      </c>
      <c r="Q37" s="7" t="str">
        <f t="shared" si="12"/>
        <v/>
      </c>
      <c r="R37" s="7" t="str">
        <f t="shared" si="13"/>
        <v/>
      </c>
      <c r="S37" s="7" t="str">
        <f t="shared" si="13"/>
        <v/>
      </c>
      <c r="T37" s="7" t="str">
        <f t="shared" si="13"/>
        <v/>
      </c>
      <c r="U37" s="7" t="str">
        <f t="shared" si="13"/>
        <v/>
      </c>
      <c r="V37" s="7" t="str">
        <f t="shared" si="13"/>
        <v/>
      </c>
      <c r="W37" s="7" t="str">
        <f t="shared" si="13"/>
        <v/>
      </c>
      <c r="X37" s="7" t="str">
        <f t="shared" si="13"/>
        <v/>
      </c>
      <c r="Y37" s="7" t="str">
        <f t="shared" si="13"/>
        <v/>
      </c>
      <c r="Z37" s="7" t="str">
        <f t="shared" si="13"/>
        <v/>
      </c>
      <c r="AA37" s="7" t="str">
        <f t="shared" si="13"/>
        <v/>
      </c>
      <c r="AB37" s="7" t="str">
        <f t="shared" si="13"/>
        <v/>
      </c>
      <c r="AC37" s="7" t="str">
        <f t="shared" si="13"/>
        <v/>
      </c>
      <c r="AD37" s="7" t="str">
        <f t="shared" si="13"/>
        <v>■</v>
      </c>
      <c r="AE37" s="7" t="str">
        <f t="shared" si="13"/>
        <v/>
      </c>
    </row>
    <row r="38" spans="1:31" ht="54.5" hidden="1" customHeight="1">
      <c r="A38" s="9" t="s">
        <v>91</v>
      </c>
      <c r="B38" s="9" t="s">
        <v>92</v>
      </c>
      <c r="C38" s="10">
        <v>46376</v>
      </c>
      <c r="D38" s="10">
        <f>IF(E38=0,C38,IF(F38="Working days",WORKDAY(C38,E38-1),C38+E38-1))</f>
        <v>46376</v>
      </c>
      <c r="E38" s="19">
        <v>0</v>
      </c>
      <c r="F38" s="9" t="s">
        <v>41</v>
      </c>
      <c r="G38" s="9"/>
      <c r="H38" s="11" t="str">
        <f t="shared" si="12"/>
        <v/>
      </c>
      <c r="I38" s="11" t="str">
        <f t="shared" si="12"/>
        <v/>
      </c>
      <c r="J38" s="11" t="str">
        <f t="shared" si="12"/>
        <v/>
      </c>
      <c r="K38" s="11" t="str">
        <f t="shared" si="12"/>
        <v/>
      </c>
      <c r="L38" s="11" t="str">
        <f t="shared" si="12"/>
        <v/>
      </c>
      <c r="M38" s="11" t="str">
        <f t="shared" si="12"/>
        <v/>
      </c>
      <c r="N38" s="11" t="str">
        <f t="shared" si="12"/>
        <v/>
      </c>
      <c r="O38" s="11" t="str">
        <f t="shared" si="12"/>
        <v/>
      </c>
      <c r="P38" s="11" t="str">
        <f t="shared" si="12"/>
        <v/>
      </c>
      <c r="Q38" s="11" t="str">
        <f t="shared" si="12"/>
        <v/>
      </c>
      <c r="R38" s="11" t="str">
        <f t="shared" si="13"/>
        <v/>
      </c>
      <c r="S38" s="11" t="str">
        <f t="shared" si="13"/>
        <v/>
      </c>
      <c r="T38" s="11" t="str">
        <f t="shared" si="13"/>
        <v/>
      </c>
      <c r="U38" s="11" t="str">
        <f t="shared" si="13"/>
        <v/>
      </c>
      <c r="V38" s="11" t="str">
        <f t="shared" si="13"/>
        <v/>
      </c>
      <c r="W38" s="11" t="str">
        <f t="shared" si="13"/>
        <v/>
      </c>
      <c r="X38" s="11" t="str">
        <f t="shared" si="13"/>
        <v/>
      </c>
      <c r="Y38" s="11" t="str">
        <f t="shared" si="13"/>
        <v/>
      </c>
      <c r="Z38" s="11" t="str">
        <f t="shared" si="13"/>
        <v/>
      </c>
      <c r="AA38" s="11" t="str">
        <f t="shared" si="13"/>
        <v/>
      </c>
      <c r="AB38" s="11" t="str">
        <f t="shared" si="13"/>
        <v/>
      </c>
      <c r="AC38" s="11" t="str">
        <f t="shared" si="13"/>
        <v/>
      </c>
      <c r="AD38" s="11" t="str">
        <f t="shared" si="13"/>
        <v>◆</v>
      </c>
      <c r="AE38" s="11" t="str">
        <f t="shared" si="13"/>
        <v/>
      </c>
    </row>
    <row r="39" spans="1:31" ht="19.5" thickBot="1">
      <c r="A39" s="24"/>
      <c r="B39" s="24"/>
      <c r="C39" s="25"/>
      <c r="D39" s="25"/>
      <c r="E39" s="28"/>
      <c r="F39" s="24"/>
      <c r="G39" s="24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</row>
    <row r="40" spans="1:31" ht="51" customHeight="1" thickBot="1">
      <c r="A40" s="38" t="s">
        <v>129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40"/>
    </row>
    <row r="41" spans="1:31" ht="19">
      <c r="A41" s="13"/>
      <c r="B41" s="13"/>
      <c r="C41" s="13"/>
      <c r="D41" s="13"/>
      <c r="E41" s="29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</row>
    <row r="42" spans="1:31" ht="21" customHeight="1">
      <c r="A42" s="31" t="s">
        <v>103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</row>
    <row r="43" spans="1:31" ht="27" customHeight="1">
      <c r="A43" s="32" t="s">
        <v>104</v>
      </c>
      <c r="B43" s="32"/>
      <c r="C43" s="33" t="s">
        <v>126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</row>
    <row r="44" spans="1:31" ht="27" customHeight="1">
      <c r="A44" s="1"/>
      <c r="B44" s="1"/>
      <c r="C44" s="1"/>
      <c r="D44" s="1"/>
      <c r="E44" s="2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">
      <c r="A45" s="1"/>
      <c r="B45" s="1"/>
      <c r="C45" s="1"/>
      <c r="D45" s="1"/>
      <c r="E45" s="2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5">
      <c r="A46" s="1"/>
      <c r="B46" s="1"/>
      <c r="C46" s="1"/>
      <c r="D46" s="1"/>
      <c r="E46" s="2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">
      <c r="A47" s="1"/>
      <c r="B47" s="1"/>
      <c r="C47" s="1"/>
      <c r="D47" s="1"/>
      <c r="E47" s="2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">
      <c r="A48" s="1"/>
      <c r="B48" s="1"/>
      <c r="C48" s="1"/>
      <c r="D48" s="1"/>
      <c r="E48" s="2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">
      <c r="A49" s="1"/>
      <c r="B49" s="1"/>
      <c r="C49" s="1"/>
      <c r="D49" s="1"/>
      <c r="E49" s="2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">
      <c r="A50" s="1"/>
      <c r="B50" s="1"/>
      <c r="C50" s="1"/>
      <c r="D50" s="1"/>
      <c r="E50" s="2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">
      <c r="A51" s="1"/>
      <c r="B51" s="1"/>
      <c r="C51" s="1"/>
      <c r="D51" s="1"/>
      <c r="E51" s="2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">
      <c r="A52" s="1"/>
      <c r="B52" s="1"/>
      <c r="C52" s="1"/>
      <c r="D52" s="1"/>
      <c r="E52" s="2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">
      <c r="A53" s="1"/>
      <c r="B53" s="1"/>
      <c r="C53" s="1"/>
      <c r="D53" s="1"/>
      <c r="E53" s="2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5">
      <c r="A54" s="1"/>
      <c r="B54" s="1"/>
      <c r="C54" s="1"/>
      <c r="D54" s="1"/>
      <c r="E54" s="2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">
      <c r="A55" s="1"/>
      <c r="B55" s="1"/>
      <c r="C55" s="1"/>
      <c r="D55" s="1"/>
      <c r="E55" s="2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5">
      <c r="A56" s="1"/>
      <c r="B56" s="1"/>
      <c r="C56" s="1"/>
      <c r="D56" s="1"/>
      <c r="E56" s="2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">
      <c r="A57" s="1"/>
      <c r="B57" s="1"/>
      <c r="C57" s="1"/>
      <c r="D57" s="1"/>
      <c r="E57" s="2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">
      <c r="A58" s="1"/>
      <c r="B58" s="1"/>
      <c r="C58" s="1"/>
      <c r="D58" s="1"/>
      <c r="E58" s="2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">
      <c r="A59" s="1"/>
      <c r="B59" s="1"/>
      <c r="C59" s="1"/>
      <c r="D59" s="1"/>
      <c r="E59" s="2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5">
      <c r="A60" s="1"/>
      <c r="B60" s="1"/>
      <c r="C60" s="1"/>
      <c r="D60" s="1"/>
      <c r="E60" s="2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">
      <c r="A61" s="1"/>
      <c r="B61" s="1"/>
      <c r="C61" s="1"/>
      <c r="D61" s="1"/>
      <c r="E61" s="2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5">
      <c r="A62" s="1"/>
      <c r="B62" s="1"/>
      <c r="C62" s="1"/>
      <c r="D62" s="1"/>
      <c r="E62" s="2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">
      <c r="A63" s="1"/>
      <c r="B63" s="1"/>
      <c r="C63" s="1"/>
      <c r="D63" s="1"/>
      <c r="E63" s="2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5">
      <c r="A64" s="1"/>
      <c r="B64" s="1"/>
      <c r="C64" s="1"/>
      <c r="D64" s="1"/>
      <c r="E64" s="2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">
      <c r="A65" s="1"/>
      <c r="B65" s="1"/>
      <c r="C65" s="1"/>
      <c r="D65" s="1"/>
      <c r="E65" s="2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">
      <c r="A66" s="1"/>
      <c r="B66" s="1"/>
      <c r="C66" s="1"/>
      <c r="D66" s="1"/>
      <c r="E66" s="2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">
      <c r="A67" s="1"/>
      <c r="B67" s="1"/>
      <c r="C67" s="1"/>
      <c r="D67" s="1"/>
      <c r="E67" s="2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">
      <c r="A68" s="1"/>
      <c r="B68" s="1"/>
      <c r="C68" s="1"/>
      <c r="D68" s="1"/>
      <c r="E68" s="2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">
      <c r="A69" s="1"/>
      <c r="B69" s="1"/>
      <c r="C69" s="1"/>
      <c r="D69" s="1"/>
      <c r="E69" s="2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</sheetData>
  <mergeCells count="23">
    <mergeCell ref="C5:AE5"/>
    <mergeCell ref="A6:B6"/>
    <mergeCell ref="C6:AE6"/>
    <mergeCell ref="A40:AE40"/>
    <mergeCell ref="A1:AE1"/>
    <mergeCell ref="A2:AE2"/>
    <mergeCell ref="A8:G8"/>
    <mergeCell ref="H8:J8"/>
    <mergeCell ref="K8:N8"/>
    <mergeCell ref="O8:S8"/>
    <mergeCell ref="T8:W8"/>
    <mergeCell ref="X8:AA8"/>
    <mergeCell ref="AB8:AE8"/>
    <mergeCell ref="A10:AE10"/>
    <mergeCell ref="A13:AE13"/>
    <mergeCell ref="A20:AE20"/>
    <mergeCell ref="A5:B5"/>
    <mergeCell ref="A42:AE42"/>
    <mergeCell ref="A43:B43"/>
    <mergeCell ref="C43:AE43"/>
    <mergeCell ref="A28:AE28"/>
    <mergeCell ref="A31:AE31"/>
    <mergeCell ref="A35:AE35"/>
  </mergeCells>
  <conditionalFormatting sqref="H11:AE11 H14:AE14 H21:AE21 H32:AE32 H34:AE34 H38:AE39">
    <cfRule type="expression" dxfId="1" priority="1">
      <formula>AND(H$3&lt;=$D11,H$3+6&gt;=$C11)</formula>
    </cfRule>
  </conditionalFormatting>
  <conditionalFormatting sqref="H12:AE12 H15:AE19 H22:AE27 H29:AE30 H33:AE33 H36:AE37">
    <cfRule type="expression" dxfId="0" priority="2">
      <formula>AND(H$3&lt;=$D12,H$3+6&gt;=$C12)</formula>
    </cfRule>
  </conditionalFormatting>
  <pageMargins left="0.7" right="0.7" top="0.75" bottom="0.75" header="0.3" footer="0.3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9th July</vt:lpstr>
      <vt:lpstr>21st July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Shagun Gupta</dc:creator>
  <cp:lastModifiedBy>Shagun Gupta</cp:lastModifiedBy>
  <cp:lastPrinted>2026-07-21T09:02:14Z</cp:lastPrinted>
  <dcterms:created xsi:type="dcterms:W3CDTF">2026-07-21T08:31:28Z</dcterms:created>
  <dcterms:modified xsi:type="dcterms:W3CDTF">2026-07-21T09:22:56Z</dcterms:modified>
</cp:coreProperties>
</file>