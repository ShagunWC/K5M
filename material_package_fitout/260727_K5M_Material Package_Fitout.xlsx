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out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layfair Display"/>
      <b val="1"/>
      <color rgb="00FFFFFF"/>
      <sz val="18"/>
    </font>
    <font>
      <name val="Lato"/>
      <i val="1"/>
      <color rgb="00292B2B"/>
      <sz val="9"/>
    </font>
    <font>
      <name val="Playfair Display"/>
      <b val="1"/>
      <color rgb="00292B2B"/>
      <sz val="11"/>
    </font>
    <font>
      <name val="Lato"/>
      <b val="1"/>
      <color rgb="00FFFFFF"/>
      <sz val="10"/>
    </font>
    <font>
      <name val="Lato"/>
      <color rgb="00292B2B"/>
      <sz val="10"/>
    </font>
    <font>
      <name val="Lato"/>
      <b val="1"/>
      <color rgb="00292B2B"/>
      <sz val="10"/>
    </font>
    <font>
      <name val="Lato"/>
      <i val="1"/>
      <color rgb="00E4572E"/>
      <sz val="8"/>
    </font>
  </fonts>
  <fills count="10">
    <fill>
      <patternFill/>
    </fill>
    <fill>
      <patternFill patternType="gray125"/>
    </fill>
    <fill>
      <patternFill patternType="solid">
        <fgColor rgb="00292B2B"/>
      </patternFill>
    </fill>
    <fill>
      <patternFill patternType="solid">
        <fgColor rgb="00F8F3EE"/>
      </patternFill>
    </fill>
    <fill>
      <patternFill patternType="solid">
        <fgColor rgb="0073BA9B"/>
      </patternFill>
    </fill>
    <fill>
      <patternFill patternType="solid">
        <fgColor rgb="00BC8A7E"/>
      </patternFill>
    </fill>
    <fill>
      <patternFill patternType="solid">
        <fgColor rgb="00E4572E"/>
      </patternFill>
    </fill>
    <fill>
      <patternFill patternType="solid">
        <fgColor rgb="00FFF07C"/>
      </patternFill>
    </fill>
    <fill>
      <patternFill patternType="solid">
        <fgColor rgb="0026547C"/>
      </patternFill>
    </fill>
    <fill>
      <patternFill patternType="solid">
        <fgColor rgb="00A7A7A7"/>
      </patternFill>
    </fill>
  </fills>
  <borders count="2">
    <border>
      <left/>
      <right/>
      <top/>
      <bottom/>
      <diagonal/>
    </border>
    <border>
      <left style="thin">
        <color rgb="00D9D0CC"/>
      </left>
      <right style="thin">
        <color rgb="00D9D0CC"/>
      </right>
      <top style="thin">
        <color rgb="00D9D0CC"/>
      </top>
      <bottom style="thin">
        <color rgb="00D9D0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24" customWidth="1" min="5" max="5"/>
    <col width="24" customWidth="1" min="6" max="6"/>
    <col width="14" customWidth="1" min="7" max="7"/>
    <col width="26" customWidth="1" min="8" max="8"/>
    <col width="40" customWidth="1" min="9" max="9"/>
    <col width="12" customWidth="1" min="10" max="10"/>
    <col width="12" customWidth="1" min="11" max="11"/>
    <col width="14" customWidth="1" min="12" max="12"/>
    <col width="8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4" customWidth="1" min="19" max="19"/>
  </cols>
  <sheetData>
    <row r="1" ht="30" customHeight="1">
      <c r="A1" s="1" t="inlineStr">
        <is>
          <t>K5M — FIT-OUT MATERIAL PACKAGE</t>
        </is>
      </c>
    </row>
    <row r="2" ht="16" customHeight="1">
      <c r="A2" s="2" t="inlineStr">
        <is>
          <t>As of 27 July 2026 — first version. Localization sourced from DD-100 only (governs over BOQ text per G&amp;B/Victoire, 23 Jul). Underlined localizations are still unresolved / to be re-raised with Adil directly — not force-resolved here.</t>
        </is>
      </c>
    </row>
    <row r="4">
      <c r="A4" s="3" t="inlineStr">
        <is>
          <t>STATUS</t>
        </is>
      </c>
    </row>
    <row r="5">
      <c r="A5" s="4" t="inlineStr">
        <is>
          <t>A</t>
        </is>
      </c>
      <c r="B5" s="5" t="inlineStr">
        <is>
          <t>Approved</t>
        </is>
      </c>
      <c r="C5" s="5">
        <f>COUNTIF(M13:M200,"A")</f>
        <v/>
      </c>
    </row>
    <row r="6">
      <c r="A6" s="6" t="inlineStr">
        <is>
          <t>B</t>
        </is>
      </c>
      <c r="B6" s="5" t="inlineStr">
        <is>
          <t>Approved with comments</t>
        </is>
      </c>
      <c r="C6" s="5">
        <f>COUNTIF(M13:M200,"B")</f>
        <v/>
      </c>
    </row>
    <row r="7">
      <c r="A7" s="7" t="inlineStr">
        <is>
          <t>C</t>
        </is>
      </c>
      <c r="B7" s="5" t="inlineStr">
        <is>
          <t>Rejected</t>
        </is>
      </c>
      <c r="C7" s="5">
        <f>COUNTIF(M13:M200,"C")</f>
        <v/>
      </c>
    </row>
    <row r="8">
      <c r="A8" s="8" t="inlineStr">
        <is>
          <t>S</t>
        </is>
      </c>
      <c r="B8" s="5" t="inlineStr">
        <is>
          <t>Submitted</t>
        </is>
      </c>
      <c r="C8" s="5">
        <f>COUNTIF(M13:M200,"S")</f>
        <v/>
      </c>
    </row>
    <row r="9">
      <c r="A9" s="9" t="inlineStr">
        <is>
          <t>T</t>
        </is>
      </c>
      <c r="B9" s="5" t="inlineStr">
        <is>
          <t>To be Submitted</t>
        </is>
      </c>
      <c r="C9" s="5">
        <f>COUNTIF(M13:M200,"T")</f>
        <v/>
      </c>
    </row>
    <row r="10">
      <c r="A10" s="10" t="inlineStr">
        <is>
          <t>O</t>
        </is>
      </c>
      <c r="B10" s="5" t="inlineStr">
        <is>
          <t>Omitted</t>
        </is>
      </c>
      <c r="C10" s="5">
        <f>COUNTIF(M13:M200,"O")</f>
        <v/>
      </c>
    </row>
    <row r="11">
      <c r="A11" s="11" t="inlineStr">
        <is>
          <t>Same proposed status-color extension as the FFE sheet (B/S colors not officially brand-defined) — confirm or replace.</t>
        </is>
      </c>
    </row>
    <row r="12"/>
    <row r="13" ht="34" customHeight="1">
      <c r="A13" s="12" t="inlineStr">
        <is>
          <t>No.</t>
        </is>
      </c>
      <c r="B13" s="12" t="inlineStr">
        <is>
          <t>Material Code</t>
        </is>
      </c>
      <c r="C13" s="12" t="inlineStr">
        <is>
          <t>Thumbnail</t>
        </is>
      </c>
      <c r="D13" s="12" t="inlineStr">
        <is>
          <t>Category</t>
        </is>
      </c>
      <c r="E13" s="12" t="inlineStr">
        <is>
          <t>Description (FR)</t>
        </is>
      </c>
      <c r="F13" s="12" t="inlineStr">
        <is>
          <t>Description (EN)</t>
        </is>
      </c>
      <c r="G13" s="12" t="inlineStr">
        <is>
          <t>Finish / Vernish</t>
        </is>
      </c>
      <c r="H13" s="12" t="inlineStr">
        <is>
          <t>Applicable Task Code(s) (WDCO)</t>
        </is>
      </c>
      <c r="I13" s="12" t="inlineStr">
        <is>
          <t>Localization per DD-100 (underlined = still under scrutiny with Adil)</t>
        </is>
      </c>
      <c r="J13" s="12" t="inlineStr">
        <is>
          <t>Control Sample (Y/N)</t>
        </is>
      </c>
      <c r="K13" s="12" t="inlineStr">
        <is>
          <t>High-Res Available (Y/N)</t>
        </is>
      </c>
      <c r="L13" s="12" t="inlineStr">
        <is>
          <t>High-Res Link</t>
        </is>
      </c>
      <c r="M13" s="12" t="inlineStr">
        <is>
          <t>Status</t>
        </is>
      </c>
      <c r="N13" s="12" t="inlineStr">
        <is>
          <t>2026-07-27</t>
        </is>
      </c>
      <c r="O13" s="12" t="inlineStr">
        <is>
          <t>2026-08-03</t>
        </is>
      </c>
      <c r="P13" s="12" t="inlineStr">
        <is>
          <t>2026-08-10</t>
        </is>
      </c>
      <c r="Q13" s="12" t="inlineStr">
        <is>
          <t>2026-08-17</t>
        </is>
      </c>
      <c r="R13" s="12" t="inlineStr">
        <is>
          <t>2026-08-24</t>
        </is>
      </c>
      <c r="S13" s="12" t="inlineStr">
        <is>
          <t>Remarks / Open Issues</t>
        </is>
      </c>
    </row>
    <row r="14" ht="60" customHeight="1">
      <c r="A14" s="13" t="n">
        <v>1</v>
      </c>
      <c r="B14" s="13" t="inlineStr">
        <is>
          <t>A-ST-01c</t>
        </is>
      </c>
      <c r="C14" s="13" t="inlineStr"/>
      <c r="D14" s="13" t="inlineStr">
        <is>
          <t>Stone</t>
        </is>
      </c>
      <c r="E14" s="14" t="inlineStr">
        <is>
          <t>Beige clair</t>
        </is>
      </c>
      <c r="F14" s="14" t="inlineStr">
        <is>
          <t>Light beige stone</t>
        </is>
      </c>
      <c r="G14" s="13" t="inlineStr">
        <is>
          <t>Adouci / Honed</t>
        </is>
      </c>
      <c r="H14" s="14" t="inlineStr">
        <is>
          <t>K5M-T1B1-ENT-A/? (seuil), K5M-T1B1-SDB-B/6, K5M-T1B1-SDB-B/12, K5M-T1B1-CHA-C/2, K5M-T1B1-CHA-C/3</t>
        </is>
      </c>
      <c r="I14" s="15" t="inlineStr">
        <is>
          <r>
            <rPr>
              <rFont val="Lato"/>
              <color rgb="00292B2B"/>
              <sz val="1000"/>
            </rPr>
            <t xml:space="preserve">Entrée: seuil. </t>
          </r>
          <r>
            <rPr>
              <rFont val="Lato"/>
              <color rgb="00E4572E"/>
              <sz val="1000"/>
              <u val="single"/>
            </rPr>
            <t xml:space="preserve">SDB: arche toilette/douche, niche (conflicts with BOQ A-ST-07a on niche — see FM-007). </t>
          </r>
          <r>
            <rPr>
              <rFont val="Lato"/>
              <color rgb="00E4572E"/>
              <sz val="1000"/>
              <u val="single"/>
            </rPr>
            <t>Chambre: seuil (C/3, joint code conflict — see FM-010), plinthe (C/2, conflicts with A-ST-01e/A-ST-02c in updated list — see FM-009).</t>
          </r>
        </is>
      </c>
      <c r="J14" s="16" t="inlineStr">
        <is>
          <t>N</t>
        </is>
      </c>
      <c r="K14" s="16" t="inlineStr">
        <is>
          <t>Y</t>
        </is>
      </c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4" t="inlineStr">
        <is>
          <t>See FM-007, FM-009, FM-010 — all still open, to re-raise with Adil</t>
        </is>
      </c>
    </row>
    <row r="15" ht="60" customHeight="1">
      <c r="A15" s="13" t="n">
        <v>2</v>
      </c>
      <c r="B15" s="13" t="inlineStr">
        <is>
          <t>A-ST-01d</t>
        </is>
      </c>
      <c r="C15" s="13" t="inlineStr"/>
      <c r="D15" s="13" t="inlineStr">
        <is>
          <t>Stone</t>
        </is>
      </c>
      <c r="E15" s="14" t="inlineStr">
        <is>
          <t>Beige clair</t>
        </is>
      </c>
      <c r="F15" s="14" t="inlineStr">
        <is>
          <t>Light beige stone</t>
        </is>
      </c>
      <c r="G15" s="13" t="inlineStr">
        <is>
          <t>Anti-dérapant / Anti-slip</t>
        </is>
      </c>
      <c r="H15" s="14" t="inlineStr">
        <is>
          <t>K5M-T1B1-SDB-B/2, K5M-T1B1-SDB-B/5</t>
        </is>
      </c>
      <c r="I15" s="15" t="inlineStr">
        <is>
          <r>
            <rPr>
              <rFont val="Lato"/>
              <color rgb="00292B2B"/>
              <sz val="1000"/>
            </rPr>
            <t xml:space="preserve">SDB: sol douche (shower floor). </t>
          </r>
          <r>
            <rPr>
              <rFont val="Lato"/>
              <color rgb="00E4572E"/>
              <sz val="1000"/>
              <u val="single"/>
            </rPr>
            <t>Threshold at B/5 conflicts with DD-100's A-ST-01c on the same opening — see FM-005. Anti-slip classification not defined — see FM-012.</t>
          </r>
        </is>
      </c>
      <c r="J15" s="16" t="inlineStr">
        <is>
          <t>N</t>
        </is>
      </c>
      <c r="K15" s="16" t="inlineStr">
        <is>
          <t>Y</t>
        </is>
      </c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4" t="inlineStr">
        <is>
          <t>See FM-005, FM-012</t>
        </is>
      </c>
    </row>
    <row r="16" ht="60" customHeight="1">
      <c r="A16" s="13" t="n">
        <v>3</v>
      </c>
      <c r="B16" s="13" t="inlineStr">
        <is>
          <t>A-ST-01e</t>
        </is>
      </c>
      <c r="C16" s="13" t="inlineStr"/>
      <c r="D16" s="13" t="inlineStr">
        <is>
          <t>Stone</t>
        </is>
      </c>
      <c r="E16" s="14" t="inlineStr">
        <is>
          <t>Beige clair</t>
        </is>
      </c>
      <c r="F16" s="14" t="inlineStr">
        <is>
          <t>Light beige stone</t>
        </is>
      </c>
      <c r="G16" s="13" t="inlineStr">
        <is>
          <t>Martelé / Hammered</t>
        </is>
      </c>
      <c r="H16" s="14" t="inlineStr">
        <is>
          <t>K5M-T1B1-ENT-A/1, K5M-T1B1-SDB-B/1</t>
        </is>
      </c>
      <c r="I16" s="15" t="inlineStr">
        <is>
          <r>
            <rPr>
              <rFont val="Lato"/>
              <color rgb="00292B2B"/>
              <sz val="1000"/>
            </rPr>
            <t>Entrée: sol. SDB: sol. Hall/corridor floor per BOQ item 1 (Hall Ascenseurs).</t>
          </r>
        </is>
      </c>
      <c r="J16" s="16" t="inlineStr">
        <is>
          <t>N</t>
        </is>
      </c>
      <c r="K16" s="16" t="inlineStr">
        <is>
          <t>Y</t>
        </is>
      </c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4" t="inlineStr"/>
    </row>
    <row r="17" ht="60" customHeight="1">
      <c r="A17" s="13" t="n">
        <v>4</v>
      </c>
      <c r="B17" s="13" t="inlineStr">
        <is>
          <t>A-ST-02c</t>
        </is>
      </c>
      <c r="C17" s="13" t="inlineStr"/>
      <c r="D17" s="13" t="inlineStr">
        <is>
          <t>Stone</t>
        </is>
      </c>
      <c r="E17" s="14" t="inlineStr">
        <is>
          <t>Beige foncé</t>
        </is>
      </c>
      <c r="F17" s="14" t="inlineStr">
        <is>
          <t>Dark beige stone</t>
        </is>
      </c>
      <c r="G17" s="13" t="inlineStr">
        <is>
          <t>Adouci / Honed</t>
        </is>
      </c>
      <c r="H17" s="14" t="inlineStr">
        <is>
          <t>K5M-T1B1-ENT-A/1, K5M-T1B1-SDB-B/1, K5M-T1B1-SDB-B/3, K5M-T1B1-CHA-C/2</t>
        </is>
      </c>
      <c r="I17" s="15" t="inlineStr">
        <is>
          <r>
            <rPr>
              <rFont val="Lato"/>
              <color rgb="00292B2B"/>
              <sz val="1000"/>
            </rPr>
            <t xml:space="preserve">Entrée: sol. SDB: sol, plinthe. </t>
          </r>
          <r>
            <rPr>
              <rFont val="Lato"/>
              <color rgb="00E4572E"/>
              <sz val="1000"/>
              <u val="single"/>
            </rPr>
            <t>Chambre: plinthe (C/2) — conflicts with A-ST-01c/A-ST-01e, see FM-009.</t>
          </r>
        </is>
      </c>
      <c r="J17" s="16" t="inlineStr">
        <is>
          <t>N</t>
        </is>
      </c>
      <c r="K17" s="16" t="inlineStr">
        <is>
          <t>Y</t>
        </is>
      </c>
      <c r="L17" s="17" t="inlineStr"/>
      <c r="M17" s="17" t="inlineStr"/>
      <c r="N17" s="17" t="inlineStr"/>
      <c r="O17" s="17" t="inlineStr"/>
      <c r="P17" s="17" t="inlineStr"/>
      <c r="Q17" s="17" t="inlineStr"/>
      <c r="R17" s="17" t="inlineStr"/>
      <c r="S17" s="14" t="inlineStr">
        <is>
          <t>See FM-009</t>
        </is>
      </c>
    </row>
    <row r="18" ht="60" customHeight="1">
      <c r="A18" s="13" t="n">
        <v>5</v>
      </c>
      <c r="B18" s="13" t="inlineStr">
        <is>
          <t>A-ST-07a</t>
        </is>
      </c>
      <c r="C18" s="13" t="inlineStr"/>
      <c r="D18" s="13" t="inlineStr">
        <is>
          <t>Stone</t>
        </is>
      </c>
      <c r="E18" s="14" t="inlineStr">
        <is>
          <t>Onyx miel — REMPLACÉ PAR Taj Mahal</t>
        </is>
      </c>
      <c r="F18" s="14" t="inlineStr">
        <is>
          <t>Onyx Honey — REPLACED BY Taj Mahal</t>
        </is>
      </c>
      <c r="G18" s="13" t="inlineStr">
        <is>
          <t>Poli / Polished</t>
        </is>
      </c>
      <c r="H18" s="14" t="inlineStr">
        <is>
          <t>K5M-T1B1-ENT-A (arche/porte-bagage), K5M-T1B1-SDB-B/7, K5M-T1B1-SDB-B/8, K5M-T1B1-SDB-B/9, K5M-T1B1-SDB-B/10, K5M-T1B1-SDB-B/11, K5M-T1B1-SDB-B/12, K5M-T1B1-CHA-C/4</t>
        </is>
      </c>
      <c r="I18" s="15" t="inlineStr">
        <is>
          <r>
            <rPr>
              <rFont val="Lato"/>
              <color rgb="00292B2B"/>
              <sz val="1000"/>
            </rPr>
            <t xml:space="preserve">Entrée: arche, porte-bagage. SDB: banc (B/7, B/8), tablette WC (B/9), vasque (B/10), arche vasque (B/11). </t>
          </r>
          <r>
            <rPr>
              <rFont val="Lato"/>
              <color rgb="00E4572E"/>
              <sz val="1000"/>
              <u val="single"/>
            </rPr>
            <t>SDB niche (B/12) — same code shown twice in updated list (superseded honey-onyx row retained alongside Taj Mahal replacement) — see FM-002 and FM-007.</t>
          </r>
          <r>
            <rPr>
              <rFont val="Lato"/>
              <color rgb="00292B2B"/>
              <sz val="1000"/>
            </rPr>
            <t xml:space="preserve"> Chambre: arche (C/4).</t>
          </r>
        </is>
      </c>
      <c r="J18" s="16" t="inlineStr">
        <is>
          <t>N</t>
        </is>
      </c>
      <c r="K18" s="16" t="inlineStr">
        <is>
          <t>N</t>
        </is>
      </c>
      <c r="L18" s="17" t="inlineStr"/>
      <c r="M18" s="17" t="inlineStr"/>
      <c r="N18" s="17" t="inlineStr"/>
      <c r="O18" s="17" t="inlineStr"/>
      <c r="P18" s="17" t="inlineStr"/>
      <c r="Q18" s="17" t="inlineStr"/>
      <c r="R18" s="17" t="inlineStr"/>
      <c r="S18" s="14" t="inlineStr">
        <is>
          <t>SUBSTITUTED as of 21 Jul 2026 update. See FM-002, FM-007 — confirm Taj Mahal applies everywhere, honey onyx no longer valid anywhere</t>
        </is>
      </c>
    </row>
    <row r="19" ht="60" customHeight="1">
      <c r="A19" s="13" t="n">
        <v>6</v>
      </c>
      <c r="B19" s="13" t="inlineStr">
        <is>
          <t>A-WD-01b</t>
        </is>
      </c>
      <c r="C19" s="13" t="inlineStr"/>
      <c r="D19" s="13" t="inlineStr">
        <is>
          <t>Wood</t>
        </is>
      </c>
      <c r="E19" s="14" t="inlineStr">
        <is>
          <t>Noyer — REMPLACÉ PAR chêne teinté moyen</t>
        </is>
      </c>
      <c r="F19" s="14" t="inlineStr">
        <is>
          <t>Walnut — REPLACED BY medium-tinted oak</t>
        </is>
      </c>
      <c r="G19" s="13" t="inlineStr">
        <is>
          <t>Satin</t>
        </is>
      </c>
      <c r="H19" s="14" t="inlineStr">
        <is>
          <t>K5M-T1B1-ENT-A/7, K5M-T1B1-CHA-C/7</t>
        </is>
      </c>
      <c r="I19" s="15" t="inlineStr">
        <is>
          <r>
            <rPr>
              <rFont val="Lato"/>
              <color rgb="00E4572E"/>
              <sz val="1000"/>
              <u val="single"/>
            </rPr>
            <t xml:space="preserve">Entrée: porte, architrave, plinthe (A/7). </t>
          </r>
          <r>
            <rPr>
              <rFont val="Lato"/>
              <color rgb="00E4572E"/>
              <sz val="1000"/>
              <u val="single"/>
            </rPr>
            <t>Chambre: tablette (C/7). BOQ uses three code variants (A-WD-01d, generic A-WD-01, A-WD-01b) for these — see FM-001.</t>
          </r>
        </is>
      </c>
      <c r="J19" s="16" t="inlineStr">
        <is>
          <t>N</t>
        </is>
      </c>
      <c r="K19" s="16" t="inlineStr">
        <is>
          <t>N</t>
        </is>
      </c>
      <c r="L19" s="17" t="inlineStr"/>
      <c r="M19" s="17" t="inlineStr"/>
      <c r="N19" s="17" t="inlineStr"/>
      <c r="O19" s="17" t="inlineStr"/>
      <c r="P19" s="17" t="inlineStr"/>
      <c r="Q19" s="17" t="inlineStr"/>
      <c r="R19" s="17" t="inlineStr"/>
      <c r="S19" s="14" t="inlineStr">
        <is>
          <t>SUBSTITUTED as of 21 Jul 2026. See FM-001 — confirm all four applications follow this code/finish</t>
        </is>
      </c>
    </row>
    <row r="20" ht="60" customHeight="1">
      <c r="A20" s="13" t="n">
        <v>7</v>
      </c>
      <c r="B20" s="13" t="inlineStr">
        <is>
          <t>A-WD-01d</t>
        </is>
      </c>
      <c r="C20" s="13" t="inlineStr"/>
      <c r="D20" s="13" t="inlineStr">
        <is>
          <t>Wood</t>
        </is>
      </c>
      <c r="E20" s="14" t="inlineStr">
        <is>
          <t>(absent de la liste officielle des matériaux)</t>
        </is>
      </c>
      <c r="F20" s="14" t="inlineStr">
        <is>
          <t>(does not appear in the official material list at all)</t>
        </is>
      </c>
      <c r="G20" s="13" t="inlineStr"/>
      <c r="H20" s="14" t="inlineStr">
        <is>
          <t>K5M-T1B1-ENT-A/2, K5M-T1B1-ENT-A/4</t>
        </is>
      </c>
      <c r="I20" s="15" t="inlineStr">
        <is>
          <r>
            <rPr>
              <rFont val="Lato"/>
              <color rgb="00E4572E"/>
              <sz val="1000"/>
              <u val="single"/>
            </rPr>
            <t xml:space="preserve">Entrée: plinthe (A/2), arche (A/4) — code only exists in the BOQ/RFI, not in any material list issue. </t>
          </r>
        </is>
      </c>
      <c r="J20" s="16" t="inlineStr">
        <is>
          <t>N</t>
        </is>
      </c>
      <c r="K20" s="16" t="inlineStr">
        <is>
          <t>N</t>
        </is>
      </c>
      <c r="L20" s="17" t="inlineStr"/>
      <c r="M20" s="17" t="inlineStr"/>
      <c r="N20" s="17" t="inlineStr"/>
      <c r="O20" s="17" t="inlineStr"/>
      <c r="P20" s="17" t="inlineStr"/>
      <c r="Q20" s="17" t="inlineStr"/>
      <c r="R20" s="17" t="inlineStr"/>
      <c r="S20" s="14" t="inlineStr">
        <is>
          <t>See FM-001. RFI already flags: no material reference image provided for this code</t>
        </is>
      </c>
    </row>
    <row r="21" ht="60" customHeight="1">
      <c r="A21" s="13" t="n">
        <v>8</v>
      </c>
      <c r="B21" s="13" t="inlineStr">
        <is>
          <t>A-WD-02c</t>
        </is>
      </c>
      <c r="C21" s="13" t="inlineStr"/>
      <c r="D21" s="13" t="inlineStr">
        <is>
          <t>Wood</t>
        </is>
      </c>
      <c r="E21" s="14" t="inlineStr">
        <is>
          <t>Chêne cérusé blanc</t>
        </is>
      </c>
      <c r="F21" s="14" t="inlineStr">
        <is>
          <t>White cerused oak</t>
        </is>
      </c>
      <c r="G21" s="13" t="inlineStr">
        <is>
          <t>Mat / Matte</t>
        </is>
      </c>
      <c r="H21" s="14" t="inlineStr">
        <is>
          <t>K5M-T1B1-ENT-A/8, K5M-T1B1-SDB-B/14, K5M-T1B1-CHA-C/6</t>
        </is>
      </c>
      <c r="I21" s="15" t="inlineStr">
        <is>
          <r>
            <rPr>
              <rFont val="Lato"/>
              <color rgb="00292B2B"/>
              <sz val="1000"/>
            </rPr>
            <t xml:space="preserve">Entrée: contour/tiroir/dressings (A/8). SDB: contour portes (B/14). </t>
          </r>
          <r>
            <rPr>
              <rFont val="Lato"/>
              <color rgb="00E4572E"/>
              <sz val="1000"/>
              <u val="single"/>
            </rPr>
            <t>Chambre: wall panels per BOQ (C/6), but updated material-list location only mentions banquette, not wall panelling — see FM-011.</t>
          </r>
        </is>
      </c>
      <c r="J21" s="16" t="inlineStr">
        <is>
          <t>N</t>
        </is>
      </c>
      <c r="K21" s="16" t="inlineStr">
        <is>
          <t>Y</t>
        </is>
      </c>
      <c r="L21" s="17" t="inlineStr"/>
      <c r="M21" s="17" t="inlineStr"/>
      <c r="N21" s="17" t="inlineStr"/>
      <c r="O21" s="17" t="inlineStr"/>
      <c r="P21" s="17" t="inlineStr"/>
      <c r="Q21" s="17" t="inlineStr"/>
      <c r="R21" s="17" t="inlineStr"/>
      <c r="S21" s="14" t="inlineStr">
        <is>
          <t>See FM-011</t>
        </is>
      </c>
    </row>
    <row r="22" ht="60" customHeight="1">
      <c r="A22" s="13" t="n">
        <v>9</v>
      </c>
      <c r="B22" s="13" t="inlineStr">
        <is>
          <t>A-WD-04b</t>
        </is>
      </c>
      <c r="C22" s="13" t="inlineStr"/>
      <c r="D22" s="13" t="inlineStr">
        <is>
          <t>Wood</t>
        </is>
      </c>
      <c r="E22" s="14" t="inlineStr">
        <is>
          <t>Parquet chêne teinté moyen (Hakwood Idéal)</t>
        </is>
      </c>
      <c r="F22" s="14" t="inlineStr">
        <is>
          <t>Medium-tinted oak parquet (Hakwood Idéal)</t>
        </is>
      </c>
      <c r="G22" s="13" t="inlineStr">
        <is>
          <t>Satin</t>
        </is>
      </c>
      <c r="H22" s="14" t="inlineStr">
        <is>
          <t>K5M-T1B1-CHA-C/1</t>
        </is>
      </c>
      <c r="I22" s="15" t="inlineStr">
        <is>
          <r>
            <rPr>
              <rFont val="Lato"/>
              <color rgb="00E4572E"/>
              <sz val="1000"/>
              <u val="single"/>
            </rPr>
            <t xml:space="preserve">Chambre: sol (floor). </t>
          </r>
          <r>
            <rPr>
              <rFont val="Lato"/>
              <color rgb="00E4572E"/>
              <sz val="1000"/>
              <u val="single"/>
            </rPr>
            <t>BOQ cites A-WD-04d, which does not appear anywhere in DD-100 or the material lists — see FM-008.</t>
          </r>
        </is>
      </c>
      <c r="J22" s="16" t="inlineStr">
        <is>
          <t>N</t>
        </is>
      </c>
      <c r="K22" s="16" t="inlineStr">
        <is>
          <t>Y</t>
        </is>
      </c>
      <c r="L22" s="17" t="inlineStr"/>
      <c r="M22" s="17" t="inlineStr"/>
      <c r="N22" s="17" t="inlineStr"/>
      <c r="O22" s="17" t="inlineStr"/>
      <c r="P22" s="17" t="inlineStr"/>
      <c r="Q22" s="17" t="inlineStr"/>
      <c r="R22" s="17" t="inlineStr"/>
      <c r="S22" s="14" t="inlineStr">
        <is>
          <t>SUBSTITUTED from dark-tinted to medium-tinted oak, 21 Jul 2026, real product ref (Hakwood, Idéal). See FM-008</t>
        </is>
      </c>
    </row>
    <row r="23" ht="60" customHeight="1">
      <c r="A23" s="13" t="n">
        <v>10</v>
      </c>
      <c r="B23" s="13" t="inlineStr">
        <is>
          <t>A-ME-01a</t>
        </is>
      </c>
      <c r="C23" s="13" t="inlineStr"/>
      <c r="D23" s="13" t="inlineStr">
        <is>
          <t>Metal</t>
        </is>
      </c>
      <c r="E23" s="14" t="inlineStr">
        <is>
          <t>Acier inoxydable poli</t>
        </is>
      </c>
      <c r="F23" s="14" t="inlineStr">
        <is>
          <t>Polished stainless steel</t>
        </is>
      </c>
      <c r="G23" s="13" t="inlineStr">
        <is>
          <t>Finition poli miroir</t>
        </is>
      </c>
      <c r="H23" s="14" t="inlineStr">
        <is>
          <t>K5M-T1B1-SDB-B/8, K5M-T1B1-SDB-B/14</t>
        </is>
      </c>
      <c r="I23" s="15" t="inlineStr">
        <is>
          <r>
            <rPr>
              <rFont val="Lato"/>
              <color rgb="00E4572E"/>
              <sz val="1000"/>
              <u val="single"/>
            </rPr>
            <t>SDB: bench structure/base (B/8) — not explicitly confirmed in updated material-list locations, see FM-006. Door handle/frame (B/14).</t>
          </r>
          <r>
            <rPr>
              <rFont val="Lato"/>
              <color rgb="00E4572E"/>
              <sz val="1000"/>
              <u val="single"/>
            </rPr>
            <t xml:space="preserve"> Original (27 Oct 2025) list located this at Entrée tringle instead — location moved in the 21 Jul update; A-ME-01h now covers the Entrée tringle.</t>
          </r>
        </is>
      </c>
      <c r="J23" s="16" t="inlineStr">
        <is>
          <t>N</t>
        </is>
      </c>
      <c r="K23" s="16" t="inlineStr">
        <is>
          <t>Y</t>
        </is>
      </c>
      <c r="L23" s="17" t="inlineStr"/>
      <c r="M23" s="17" t="inlineStr"/>
      <c r="N23" s="17" t="inlineStr"/>
      <c r="O23" s="17" t="inlineStr"/>
      <c r="P23" s="17" t="inlineStr"/>
      <c r="Q23" s="17" t="inlineStr"/>
      <c r="R23" s="17" t="inlineStr"/>
      <c r="S23" s="14" t="inlineStr">
        <is>
          <t>See FM-006. Location changed between material list versions — confirm current assignment</t>
        </is>
      </c>
    </row>
    <row r="24" ht="60" customHeight="1">
      <c r="A24" s="13" t="n">
        <v>11</v>
      </c>
      <c r="B24" s="13" t="inlineStr">
        <is>
          <t>A-ME-01h</t>
        </is>
      </c>
      <c r="C24" s="13" t="inlineStr"/>
      <c r="D24" s="13" t="inlineStr">
        <is>
          <t>Metal</t>
        </is>
      </c>
      <c r="E24" s="14" t="inlineStr">
        <is>
          <t>Acier inoxydable brossé (NOUVEAU 21 Jul)</t>
        </is>
      </c>
      <c r="F24" s="14" t="inlineStr">
        <is>
          <t>Brushed stainless steel (NEW 21 Jul)</t>
        </is>
      </c>
      <c r="G24" s="13" t="inlineStr">
        <is>
          <t>Finition brossé</t>
        </is>
      </c>
      <c r="H24" s="14" t="inlineStr">
        <is>
          <t>K5M-T1B1-ENT</t>
        </is>
      </c>
      <c r="I24" s="15" t="inlineStr">
        <is>
          <r>
            <rPr>
              <rFont val="Lato"/>
              <color rgb="00E4572E"/>
              <sz val="1000"/>
              <u val="single"/>
            </rPr>
            <t>Entrée: tringle (rail) — new code introduced 21 Jul 2026, appears to take over this location from A-ME-01a.</t>
          </r>
        </is>
      </c>
      <c r="J24" s="16" t="inlineStr">
        <is>
          <t>N</t>
        </is>
      </c>
      <c r="K24" s="16" t="inlineStr">
        <is>
          <t>N</t>
        </is>
      </c>
      <c r="L24" s="17" t="inlineStr"/>
      <c r="M24" s="17" t="inlineStr"/>
      <c r="N24" s="17" t="inlineStr"/>
      <c r="O24" s="17" t="inlineStr"/>
      <c r="P24" s="17" t="inlineStr"/>
      <c r="Q24" s="17" t="inlineStr"/>
      <c r="R24" s="17" t="inlineStr"/>
      <c r="S24" s="14" t="inlineStr">
        <is>
          <t>New code as of 21 Jul 2026 update — confirm with Adil this is the correct replacement for the rail location</t>
        </is>
      </c>
    </row>
    <row r="25" ht="60" customHeight="1">
      <c r="A25" s="13" t="n">
        <v>12</v>
      </c>
      <c r="B25" s="13" t="inlineStr">
        <is>
          <t>A-ME-02h</t>
        </is>
      </c>
      <c r="C25" s="13" t="inlineStr"/>
      <c r="D25" s="13" t="inlineStr">
        <is>
          <t>Metal</t>
        </is>
      </c>
      <c r="E25" s="14" t="inlineStr">
        <is>
          <t>Laiton patiné foncé</t>
        </is>
      </c>
      <c r="F25" s="14" t="inlineStr">
        <is>
          <t>Dark patinated brass</t>
        </is>
      </c>
      <c r="G25" s="13" t="inlineStr">
        <is>
          <t>Vernis mat / Matte varnish</t>
        </is>
      </c>
      <c r="H25" s="14" t="inlineStr">
        <is>
          <t>K5M-T1B1-ENT-A/7, K5M-T1B1-ENT-A/8, K5M-T1B1-SDB-B/13, K5M-T1B1-CHA-C/7</t>
        </is>
      </c>
      <c r="I25" s="15" t="inlineStr">
        <is>
          <r>
            <rPr>
              <rFont val="Lato"/>
              <color rgb="00292B2B"/>
              <sz val="1000"/>
            </rPr>
            <t>Entrée: door joint/trim (A/7, A/8). SDB: mirror joint/trim (B/13). Chambre: mirror joint/trim (C/7).</t>
          </r>
        </is>
      </c>
      <c r="J25" s="16" t="inlineStr">
        <is>
          <t>N</t>
        </is>
      </c>
      <c r="K25" s="16" t="inlineStr">
        <is>
          <t>Y</t>
        </is>
      </c>
      <c r="L25" s="17" t="inlineStr"/>
      <c r="M25" s="17" t="inlineStr"/>
      <c r="N25" s="17" t="inlineStr"/>
      <c r="O25" s="17" t="inlineStr"/>
      <c r="P25" s="17" t="inlineStr"/>
      <c r="Q25" s="17" t="inlineStr"/>
      <c r="R25" s="17" t="inlineStr"/>
      <c r="S25" s="14" t="inlineStr"/>
    </row>
    <row r="26" ht="60" customHeight="1">
      <c r="A26" s="13" t="n">
        <v>13</v>
      </c>
      <c r="B26" s="13" t="inlineStr">
        <is>
          <t>A-ME-02i</t>
        </is>
      </c>
      <c r="C26" s="13" t="inlineStr"/>
      <c r="D26" s="13" t="inlineStr">
        <is>
          <t>Metal</t>
        </is>
      </c>
      <c r="E26" s="14" t="inlineStr">
        <is>
          <t>Laiton patiné foncé martelé</t>
        </is>
      </c>
      <c r="F26" s="14" t="inlineStr">
        <is>
          <t>Dark patinated hammered brass</t>
        </is>
      </c>
      <c r="G26" s="13" t="inlineStr">
        <is>
          <t>Martelé, vernis mat</t>
        </is>
      </c>
      <c r="H26" s="14" t="inlineStr">
        <is>
          <t>K5M-T1B1-ENT-A/8, K5M-T1B1-SDB-B/14</t>
        </is>
      </c>
      <c r="I26" s="15" t="inlineStr">
        <is>
          <r>
            <rPr>
              <rFont val="Lato"/>
              <color rgb="00292B2B"/>
              <sz val="1000"/>
            </rPr>
            <t>Entrée: handle (A/8). SDB: handle (B/14).</t>
          </r>
        </is>
      </c>
      <c r="J26" s="16" t="inlineStr">
        <is>
          <t>N</t>
        </is>
      </c>
      <c r="K26" s="16" t="inlineStr">
        <is>
          <t>Y</t>
        </is>
      </c>
      <c r="L26" s="17" t="inlineStr"/>
      <c r="M26" s="17" t="inlineStr"/>
      <c r="N26" s="17" t="inlineStr"/>
      <c r="O26" s="17" t="inlineStr"/>
      <c r="P26" s="17" t="inlineStr"/>
      <c r="Q26" s="17" t="inlineStr"/>
      <c r="R26" s="17" t="inlineStr"/>
      <c r="S26" s="14" t="inlineStr">
        <is>
          <t>Compound finish: dark patina base + hammered (martelé) texture applied on top — the only clear compound case in Fit-out</t>
        </is>
      </c>
    </row>
    <row r="27" ht="60" customHeight="1">
      <c r="A27" s="13" t="n">
        <v>14</v>
      </c>
      <c r="B27" s="13" t="inlineStr">
        <is>
          <t>A-GL-01a</t>
        </is>
      </c>
      <c r="C27" s="13" t="inlineStr"/>
      <c r="D27" s="13" t="inlineStr">
        <is>
          <t>Glass/Mirror</t>
        </is>
      </c>
      <c r="E27" s="14" t="inlineStr">
        <is>
          <t>Miroir extra-clair</t>
        </is>
      </c>
      <c r="F27" s="14" t="inlineStr">
        <is>
          <t>Extra-clear mirror</t>
        </is>
      </c>
      <c r="G27" s="13" t="inlineStr">
        <is>
          <t>Extra-clair</t>
        </is>
      </c>
      <c r="H27" s="14" t="inlineStr">
        <is>
          <t>K5M-T1B1-SDB-B/13, K5M-T1B1-CHA-C/7</t>
        </is>
      </c>
      <c r="I27" s="15" t="inlineStr">
        <is>
          <r>
            <rPr>
              <rFont val="Lato"/>
              <color rgb="00E4572E"/>
              <sz val="1000"/>
              <u val="single"/>
            </rPr>
            <t>SDB: mirror (B/13, three-part with light between — confirm no light suspension is our scope). Chambre: mirror in banquette arch (C/7).</t>
          </r>
        </is>
      </c>
      <c r="J27" s="16" t="inlineStr">
        <is>
          <t>N</t>
        </is>
      </c>
      <c r="K27" s="16" t="inlineStr">
        <is>
          <t>Y</t>
        </is>
      </c>
      <c r="L27" s="17" t="inlineStr"/>
      <c r="M27" s="17" t="inlineStr"/>
      <c r="N27" s="17" t="inlineStr"/>
      <c r="O27" s="17" t="inlineStr"/>
      <c r="P27" s="17" t="inlineStr"/>
      <c r="Q27" s="17" t="inlineStr"/>
      <c r="R27" s="17" t="inlineStr"/>
      <c r="S27" s="14" t="inlineStr">
        <is>
          <t>Confirm scope boundary on B/13's inter-panel lighting (per RFI remark)</t>
        </is>
      </c>
    </row>
    <row r="28" ht="60" customHeight="1">
      <c r="A28" s="13" t="n">
        <v>15</v>
      </c>
      <c r="B28" s="13" t="inlineStr">
        <is>
          <t>A-GL-02a</t>
        </is>
      </c>
      <c r="C28" s="13" t="inlineStr"/>
      <c r="D28" s="13" t="inlineStr">
        <is>
          <t>Glass/Mirror</t>
        </is>
      </c>
      <c r="E28" s="14" t="inlineStr">
        <is>
          <t>Miroir extra-clair antique</t>
        </is>
      </c>
      <c r="F28" s="14" t="inlineStr">
        <is>
          <t>Antique extra-clear mirror</t>
        </is>
      </c>
      <c r="G28" s="13" t="inlineStr">
        <is>
          <t>Antique</t>
        </is>
      </c>
      <c r="H28" s="14" t="inlineStr">
        <is>
          <t>K5M-T1B1-ENT</t>
        </is>
      </c>
      <c r="I28" s="15" t="inlineStr">
        <is>
          <r>
            <rPr>
              <rFont val="Lato"/>
              <color rgb="00292B2B"/>
              <sz val="1000"/>
            </rPr>
            <t>Entrée: mini-bar interior panel.</t>
          </r>
        </is>
      </c>
      <c r="J28" s="16" t="inlineStr">
        <is>
          <t>N</t>
        </is>
      </c>
      <c r="K28" s="16" t="inlineStr">
        <is>
          <t>N</t>
        </is>
      </c>
      <c r="L28" s="17" t="inlineStr"/>
      <c r="M28" s="17" t="inlineStr"/>
      <c r="N28" s="17" t="inlineStr"/>
      <c r="O28" s="17" t="inlineStr"/>
      <c r="P28" s="17" t="inlineStr"/>
      <c r="Q28" s="17" t="inlineStr"/>
      <c r="R28" s="17" t="inlineStr"/>
      <c r="S28" s="14" t="inlineStr"/>
    </row>
    <row r="29" ht="60" customHeight="1">
      <c r="A29" s="13" t="n">
        <v>16</v>
      </c>
      <c r="B29" s="13" t="inlineStr">
        <is>
          <t>A-GL-03a</t>
        </is>
      </c>
      <c r="C29" s="13" t="inlineStr"/>
      <c r="D29" s="13" t="inlineStr">
        <is>
          <t>Glass</t>
        </is>
      </c>
      <c r="E29" s="14" t="inlineStr">
        <is>
          <t>Verre extra-clair + lin</t>
        </is>
      </c>
      <c r="F29" s="14" t="inlineStr">
        <is>
          <t>Extra-clear glass + linen</t>
        </is>
      </c>
      <c r="G29" s="13" t="inlineStr"/>
      <c r="H29" s="14" t="inlineStr">
        <is>
          <t>K5M-T1B1-ENT-A/8, K5M-T1B1-SDB-B/14</t>
        </is>
      </c>
      <c r="I29" s="15" t="inlineStr">
        <is>
          <r>
            <rPr>
              <rFont val="Lato"/>
              <color rgb="00E4572E"/>
              <sz val="1000"/>
              <u val="single"/>
            </rPr>
            <t>Entrée: door/dressing panels (A/8). SDB: door panels (B/14). Glass reference image still needed.</t>
          </r>
        </is>
      </c>
      <c r="J29" s="16" t="inlineStr">
        <is>
          <t>N</t>
        </is>
      </c>
      <c r="K29" s="16" t="inlineStr">
        <is>
          <t>N</t>
        </is>
      </c>
      <c r="L29" s="17" t="inlineStr"/>
      <c r="M29" s="17" t="inlineStr"/>
      <c r="N29" s="17" t="inlineStr"/>
      <c r="O29" s="17" t="inlineStr"/>
      <c r="P29" s="17" t="inlineStr"/>
      <c r="Q29" s="17" t="inlineStr"/>
      <c r="R29" s="17" t="inlineStr"/>
      <c r="S29" s="14" t="inlineStr"/>
    </row>
    <row r="30" ht="60" customHeight="1">
      <c r="A30" s="13" t="n">
        <v>17</v>
      </c>
      <c r="B30" s="13" t="inlineStr">
        <is>
          <t>A-GL-04a</t>
        </is>
      </c>
      <c r="C30" s="13" t="inlineStr"/>
      <c r="D30" s="13" t="inlineStr">
        <is>
          <t>Glass</t>
        </is>
      </c>
      <c r="E30" s="14" t="inlineStr">
        <is>
          <t>Verre extra-clair</t>
        </is>
      </c>
      <c r="F30" s="14" t="inlineStr">
        <is>
          <t>Extra-clear glass</t>
        </is>
      </c>
      <c r="G30" s="13" t="inlineStr"/>
      <c r="H30" s="14" t="inlineStr">
        <is>
          <t>K5M-T1B1-SDB</t>
        </is>
      </c>
      <c r="I30" s="15" t="inlineStr">
        <is>
          <r>
            <rPr>
              <rFont val="Lato"/>
              <color rgb="00292B2B"/>
              <sz val="1000"/>
            </rPr>
            <t>SDB: niche shelf.</t>
          </r>
        </is>
      </c>
      <c r="J30" s="16" t="inlineStr">
        <is>
          <t>N</t>
        </is>
      </c>
      <c r="K30" s="16" t="inlineStr">
        <is>
          <t>N</t>
        </is>
      </c>
      <c r="L30" s="17" t="inlineStr"/>
      <c r="M30" s="17" t="inlineStr"/>
      <c r="N30" s="17" t="inlineStr"/>
      <c r="O30" s="17" t="inlineStr"/>
      <c r="P30" s="17" t="inlineStr"/>
      <c r="Q30" s="17" t="inlineStr"/>
      <c r="R30" s="17" t="inlineStr"/>
      <c r="S30" s="14" t="inlineStr"/>
    </row>
    <row r="31" ht="60" customHeight="1">
      <c r="A31" s="13" t="n">
        <v>18</v>
      </c>
      <c r="B31" s="13" t="inlineStr">
        <is>
          <t>A-PT-01</t>
        </is>
      </c>
      <c r="C31" s="13" t="inlineStr"/>
      <c r="D31" s="13" t="inlineStr">
        <is>
          <t>Paint</t>
        </is>
      </c>
      <c r="E31" s="14" t="inlineStr">
        <is>
          <t>Peinture texturée blanche</t>
        </is>
      </c>
      <c r="F31" s="14" t="inlineStr">
        <is>
          <t>White textured paint</t>
        </is>
      </c>
      <c r="G31" s="13" t="inlineStr"/>
      <c r="H31" s="14" t="inlineStr">
        <is>
          <t>K5M-T1B1-ENT, K5M-T1B1-SDB, K5M-T1B1-CHA</t>
        </is>
      </c>
      <c r="I31" s="15" t="inlineStr">
        <is>
          <r>
            <rPr>
              <rFont val="Lato"/>
              <color rgb="00292B2B"/>
              <sz val="1000"/>
            </rPr>
            <t>Entrée: ceiling+wall (excluded from BOQ). SDB: ceiling/cornice/wall (excluded). Chambre: cornice (excluded).</t>
          </r>
        </is>
      </c>
      <c r="J31" s="16" t="inlineStr">
        <is>
          <t>N/A</t>
        </is>
      </c>
      <c r="K31" s="16" t="inlineStr">
        <is>
          <t>N/A</t>
        </is>
      </c>
      <c r="L31" s="17" t="inlineStr"/>
      <c r="M31" s="17" t="inlineStr"/>
      <c r="N31" s="17" t="inlineStr"/>
      <c r="O31" s="17" t="inlineStr"/>
      <c r="P31" s="17" t="inlineStr"/>
      <c r="Q31" s="17" t="inlineStr"/>
      <c r="R31" s="17" t="inlineStr"/>
      <c r="S31" s="14" t="inlineStr">
        <is>
          <t>Painting is EXCLUDED from the awarded BOQ scope per client — tracked here for material reference only</t>
        </is>
      </c>
    </row>
    <row r="32" ht="60" customHeight="1">
      <c r="A32" s="13" t="n">
        <v>19</v>
      </c>
      <c r="B32" s="13" t="inlineStr">
        <is>
          <t>A-PT-02</t>
        </is>
      </c>
      <c r="C32" s="13" t="inlineStr"/>
      <c r="D32" s="13" t="inlineStr">
        <is>
          <t>Paint</t>
        </is>
      </c>
      <c r="E32" s="14" t="inlineStr">
        <is>
          <t>Peinture texturée beige</t>
        </is>
      </c>
      <c r="F32" s="14" t="inlineStr">
        <is>
          <t>Beige textured paint</t>
        </is>
      </c>
      <c r="G32" s="13" t="inlineStr"/>
      <c r="H32" s="14" t="inlineStr">
        <is>
          <t>K5M-T1B1-CHA</t>
        </is>
      </c>
      <c r="I32" s="15" t="inlineStr">
        <is>
          <r>
            <rPr>
              <rFont val="Lato"/>
              <color rgb="00292B2B"/>
              <sz val="1000"/>
            </rPr>
            <t>Chambre: ceiling (excluded from BOQ).</t>
          </r>
        </is>
      </c>
      <c r="J32" s="16" t="inlineStr">
        <is>
          <t>N/A</t>
        </is>
      </c>
      <c r="K32" s="16" t="inlineStr">
        <is>
          <t>N/A</t>
        </is>
      </c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  <c r="S32" s="14" t="inlineStr">
        <is>
          <t>Excluded from awarded BOQ scope</t>
        </is>
      </c>
    </row>
    <row r="33" ht="60" customHeight="1">
      <c r="A33" s="13" t="n">
        <v>20</v>
      </c>
      <c r="B33" s="13" t="inlineStr">
        <is>
          <t>A-WP-01</t>
        </is>
      </c>
      <c r="C33" s="13" t="inlineStr"/>
      <c r="D33" s="13" t="inlineStr">
        <is>
          <t>Wallpaper</t>
        </is>
      </c>
      <c r="E33" s="14" t="inlineStr">
        <is>
          <t>Papier peint (Omexco)</t>
        </is>
      </c>
      <c r="F33" s="14" t="inlineStr">
        <is>
          <t>Wallpaper (Omexco)</t>
        </is>
      </c>
      <c r="G33" s="13" t="inlineStr"/>
      <c r="H33" s="14" t="inlineStr">
        <is>
          <t>K5M-T1B1-CHA-C/6</t>
        </is>
      </c>
      <c r="I33" s="15" t="inlineStr">
        <is>
          <r>
            <rPr>
              <rFont val="Lato"/>
              <color rgb="00E4572E"/>
              <sz val="1000"/>
              <u val="single"/>
            </rPr>
            <t>Chambre: wall — explicitly EXCLUDED from our BOQ offer per C/6 remark.</t>
          </r>
        </is>
      </c>
      <c r="J33" s="16" t="inlineStr">
        <is>
          <t>N/A</t>
        </is>
      </c>
      <c r="K33" s="16" t="inlineStr">
        <is>
          <t>N/A</t>
        </is>
      </c>
      <c r="L33" s="17" t="inlineStr"/>
      <c r="M33" s="17" t="inlineStr"/>
      <c r="N33" s="17" t="inlineStr"/>
      <c r="O33" s="17" t="inlineStr"/>
      <c r="P33" s="17" t="inlineStr"/>
      <c r="Q33" s="17" t="inlineStr"/>
      <c r="R33" s="17" t="inlineStr"/>
      <c r="S33" s="14" t="inlineStr">
        <is>
          <t>Supply/installation of this wallpaper is explicitly excluded in our BOQ offer (see C/6)</t>
        </is>
      </c>
    </row>
    <row r="34" ht="60" customHeight="1">
      <c r="A34" s="13" t="n">
        <v>21</v>
      </c>
      <c r="B34" s="13" t="inlineStr">
        <is>
          <t>A-WP-02</t>
        </is>
      </c>
      <c r="C34" s="13" t="inlineStr"/>
      <c r="D34" s="13" t="inlineStr">
        <is>
          <t>Wallpaper</t>
        </is>
      </c>
      <c r="E34" s="14" t="inlineStr">
        <is>
          <t>Papier peint (Biobject)</t>
        </is>
      </c>
      <c r="F34" s="14" t="inlineStr">
        <is>
          <t>Wallpaper (Biobject)</t>
        </is>
      </c>
      <c r="G34" s="13" t="inlineStr"/>
      <c r="H34" s="14" t="inlineStr">
        <is>
          <t>K5M-T1B1-ENT</t>
        </is>
      </c>
      <c r="I34" s="15" t="inlineStr">
        <is>
          <r>
            <rPr>
              <rFont val="Lato"/>
              <color rgb="00292B2B"/>
              <sz val="1000"/>
            </rPr>
            <t>Entrée: luggage-rack drawer interior panel.</t>
          </r>
        </is>
      </c>
      <c r="J34" s="16" t="inlineStr">
        <is>
          <t>N</t>
        </is>
      </c>
      <c r="K34" s="16" t="inlineStr">
        <is>
          <t>N</t>
        </is>
      </c>
      <c r="L34" s="17" t="inlineStr"/>
      <c r="M34" s="17" t="inlineStr"/>
      <c r="N34" s="17" t="inlineStr"/>
      <c r="O34" s="17" t="inlineStr"/>
      <c r="P34" s="17" t="inlineStr"/>
      <c r="Q34" s="17" t="inlineStr"/>
      <c r="R34" s="17" t="inlineStr"/>
      <c r="S34" s="14" t="inlineStr"/>
    </row>
    <row r="35" ht="60" customHeight="1">
      <c r="A35" s="13" t="n">
        <v>22</v>
      </c>
      <c r="B35" s="13" t="inlineStr">
        <is>
          <t>A-CA-01</t>
        </is>
      </c>
      <c r="C35" s="13" t="inlineStr"/>
      <c r="D35" s="13" t="inlineStr">
        <is>
          <t>Carpet</t>
        </is>
      </c>
      <c r="E35" s="14" t="inlineStr">
        <is>
          <t>Moquette (Design Carpet - Ali Laraqui)</t>
        </is>
      </c>
      <c r="F35" s="14" t="inlineStr">
        <is>
          <t>Carpet (Design Carpet - Ali Laraqui)</t>
        </is>
      </c>
      <c r="G35" s="13" t="inlineStr">
        <is>
          <t>Tapis encastré / Inset carpet</t>
        </is>
      </c>
      <c r="H35" s="14" t="inlineStr">
        <is>
          <t>K5M-T1B1-COULOIRS</t>
        </is>
      </c>
      <c r="I35" s="15" t="inlineStr">
        <is>
          <r>
            <rPr>
              <rFont val="Lato"/>
              <color rgb="00292B2B"/>
              <sz val="1000"/>
            </rPr>
            <t>Corridors (Hall/bedroom corridors) — inset carpet. Also appears in Victoire's 21 Jul global soft-materials list alongside FF&amp;E fabric codes — kept in Fit-out only per our scope-separation rule.</t>
          </r>
        </is>
      </c>
      <c r="J35" s="16" t="inlineStr">
        <is>
          <t>N</t>
        </is>
      </c>
      <c r="K35" s="16" t="inlineStr">
        <is>
          <t>N</t>
        </is>
      </c>
      <c r="L35" s="17" t="inlineStr"/>
      <c r="M35" s="17" t="inlineStr"/>
      <c r="N35" s="17" t="inlineStr"/>
      <c r="O35" s="17" t="inlineStr"/>
      <c r="P35" s="17" t="inlineStr"/>
      <c r="Q35" s="17" t="inlineStr"/>
      <c r="R35" s="17" t="inlineStr"/>
      <c r="S35" s="14" t="inlineStr">
        <is>
          <t>Confirm carpet remains Wood Couture scope (open decision noted in earlier Fit-out audit)</t>
        </is>
      </c>
    </row>
    <row r="36" ht="60" customHeight="1">
      <c r="A36" s="13" t="n">
        <v>23</v>
      </c>
      <c r="B36" s="13" t="inlineStr">
        <is>
          <t>A-ST-03c / A-ST-06c</t>
        </is>
      </c>
      <c r="C36" s="13" t="inlineStr"/>
      <c r="D36" s="13" t="inlineStr">
        <is>
          <t>Stone</t>
        </is>
      </c>
      <c r="E36" s="14" t="inlineStr">
        <is>
          <t>Travertin osso (vein cut / cross cut) — NOUVEAU 21 Jul</t>
        </is>
      </c>
      <c r="F36" s="14" t="inlineStr">
        <is>
          <t>Travertine osso (vein cut / cross cut) — NEW 21 Jul</t>
        </is>
      </c>
      <c r="G36" s="13" t="inlineStr">
        <is>
          <t>Adouci / Honed</t>
        </is>
      </c>
      <c r="H36" s="14" t="inlineStr"/>
      <c r="I36" s="15" t="inlineStr">
        <is>
          <r>
            <rPr>
              <rFont val="Lato"/>
              <color rgb="00E4572E"/>
              <sz val="1000"/>
              <u val="single"/>
            </rPr>
            <t>No location assigned yet in any document reviewed.</t>
          </r>
        </is>
      </c>
      <c r="J36" s="16" t="inlineStr">
        <is>
          <t>N</t>
        </is>
      </c>
      <c r="K36" s="16" t="inlineStr">
        <is>
          <t>N</t>
        </is>
      </c>
      <c r="L36" s="17" t="inlineStr"/>
      <c r="M36" s="17" t="inlineStr"/>
      <c r="N36" s="17" t="inlineStr"/>
      <c r="O36" s="17" t="inlineStr"/>
      <c r="P36" s="17" t="inlineStr"/>
      <c r="Q36" s="17" t="inlineStr"/>
      <c r="R36" s="17" t="inlineStr"/>
      <c r="S36" s="14" t="inlineStr">
        <is>
          <t>New codes as of 21 Jul 2026 — location/application not yet confirmed, ask Adil</t>
        </is>
      </c>
    </row>
    <row r="37" ht="60" customHeight="1">
      <c r="A37" s="13" t="n">
        <v>24</v>
      </c>
      <c r="B37" s="13" t="inlineStr">
        <is>
          <t>A-WD-03c</t>
        </is>
      </c>
      <c r="C37" s="13" t="inlineStr"/>
      <c r="D37" s="13" t="inlineStr">
        <is>
          <t>Wood</t>
        </is>
      </c>
      <c r="E37" s="14" t="inlineStr">
        <is>
          <t>Tatawi peint en blanc — NOUVEAU 21 Jul</t>
        </is>
      </c>
      <c r="F37" s="14" t="inlineStr">
        <is>
          <t>White-painted Tatawi wood — NEW 21 Jul</t>
        </is>
      </c>
      <c r="G37" s="13" t="inlineStr">
        <is>
          <t>Mat</t>
        </is>
      </c>
      <c r="H37" s="14" t="inlineStr"/>
      <c r="I37" s="15" t="inlineStr">
        <is>
          <r>
            <rPr>
              <rFont val="Lato"/>
              <color rgb="00E4572E"/>
              <sz val="1000"/>
              <u val="single"/>
            </rPr>
            <t>No location assigned yet in any document reviewed.</t>
          </r>
        </is>
      </c>
      <c r="J37" s="16" t="inlineStr">
        <is>
          <t>N</t>
        </is>
      </c>
      <c r="K37" s="16" t="inlineStr">
        <is>
          <t>N</t>
        </is>
      </c>
      <c r="L37" s="17" t="inlineStr"/>
      <c r="M37" s="17" t="inlineStr"/>
      <c r="N37" s="17" t="inlineStr"/>
      <c r="O37" s="17" t="inlineStr"/>
      <c r="P37" s="17" t="inlineStr"/>
      <c r="Q37" s="17" t="inlineStr"/>
      <c r="R37" s="17" t="inlineStr"/>
      <c r="S37" s="14" t="inlineStr">
        <is>
          <t>New code as of 21 Jul 2026 — location/application not yet confirmed, ask Adil</t>
        </is>
      </c>
    </row>
  </sheetData>
  <mergeCells count="4">
    <mergeCell ref="A11:H11"/>
    <mergeCell ref="A2:S2"/>
    <mergeCell ref="A1:S1"/>
    <mergeCell ref="A12:S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2026-07-27T08:40:50Z</dcterms:created>
  <dcterms:modified xsi:type="dcterms:W3CDTF">2026-07-27T08:40:50Z</dcterms:modified>
</cp:coreProperties>
</file>