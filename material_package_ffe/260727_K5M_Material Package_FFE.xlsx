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FE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layfair Display"/>
      <b val="1"/>
      <color rgb="00FFFFFF"/>
      <sz val="18"/>
    </font>
    <font>
      <name val="Lato"/>
      <i val="1"/>
      <color rgb="00292B2B"/>
      <sz val="9"/>
    </font>
    <font>
      <name val="Playfair Display"/>
      <b val="1"/>
      <color rgb="00292B2B"/>
      <sz val="11"/>
    </font>
    <font>
      <name val="Lato"/>
      <b val="1"/>
      <color rgb="00FFFFFF"/>
      <sz val="10"/>
    </font>
    <font>
      <name val="Lato"/>
      <color rgb="00292B2B"/>
      <sz val="10"/>
    </font>
    <font>
      <name val="Lato"/>
      <b val="1"/>
      <color rgb="00292B2B"/>
      <sz val="10"/>
    </font>
    <font>
      <name val="Lato"/>
      <i val="1"/>
      <color rgb="00E4572E"/>
      <sz val="8"/>
    </font>
  </fonts>
  <fills count="10">
    <fill>
      <patternFill/>
    </fill>
    <fill>
      <patternFill patternType="gray125"/>
    </fill>
    <fill>
      <patternFill patternType="solid">
        <fgColor rgb="00292B2B"/>
      </patternFill>
    </fill>
    <fill>
      <patternFill patternType="solid">
        <fgColor rgb="00F8F3EE"/>
      </patternFill>
    </fill>
    <fill>
      <patternFill patternType="solid">
        <fgColor rgb="0073BA9B"/>
      </patternFill>
    </fill>
    <fill>
      <patternFill patternType="solid">
        <fgColor rgb="00BC8A7E"/>
      </patternFill>
    </fill>
    <fill>
      <patternFill patternType="solid">
        <fgColor rgb="00E4572E"/>
      </patternFill>
    </fill>
    <fill>
      <patternFill patternType="solid">
        <fgColor rgb="00FFF07C"/>
      </patternFill>
    </fill>
    <fill>
      <patternFill patternType="solid">
        <fgColor rgb="0026547C"/>
      </patternFill>
    </fill>
    <fill>
      <patternFill patternType="solid">
        <fgColor rgb="00A7A7A7"/>
      </patternFill>
    </fill>
  </fills>
  <borders count="2">
    <border>
      <left/>
      <right/>
      <top/>
      <bottom/>
      <diagonal/>
    </border>
    <border>
      <left style="thin">
        <color rgb="00D9D0CC"/>
      </left>
      <right style="thin">
        <color rgb="00D9D0CC"/>
      </right>
      <top style="thin">
        <color rgb="00D9D0CC"/>
      </top>
      <bottom style="thin">
        <color rgb="00D9D0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7" fillId="0" borderId="0" pivotButton="0" quotePrefix="0" xfId="0"/>
    <xf numFmtId="0" fontId="0" fillId="3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0" customWidth="1" min="4" max="4"/>
    <col width="22" customWidth="1" min="5" max="5"/>
    <col width="22" customWidth="1" min="6" max="6"/>
    <col width="16" customWidth="1" min="7" max="7"/>
    <col width="12" customWidth="1" min="8" max="8"/>
    <col width="16" customWidth="1" min="9" max="9"/>
    <col width="16" customWidth="1" min="10" max="10"/>
    <col width="18" customWidth="1" min="11" max="11"/>
    <col width="12" customWidth="1" min="12" max="12"/>
    <col width="12" customWidth="1" min="13" max="13"/>
    <col width="14" customWidth="1" min="14" max="14"/>
    <col width="8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30" customWidth="1" min="21" max="21"/>
  </cols>
  <sheetData>
    <row r="1" ht="30" customHeight="1">
      <c r="A1" s="1" t="inlineStr">
        <is>
          <t>K5M — FFE MATERIAL PACKAGE</t>
        </is>
      </c>
    </row>
    <row r="2" ht="16" customHeight="1">
      <c r="A2" s="2" t="inlineStr">
        <is>
          <t>As of 27 July 2026 — first version. FFE and Fit-out are tracked in entirely separate files; never merge with the Fit-out Material Package.</t>
        </is>
      </c>
    </row>
    <row r="4">
      <c r="A4" s="3" t="inlineStr">
        <is>
          <t>STATUS</t>
        </is>
      </c>
    </row>
    <row r="5">
      <c r="A5" s="4" t="inlineStr">
        <is>
          <t>A</t>
        </is>
      </c>
      <c r="B5" s="5" t="inlineStr">
        <is>
          <t>Approved</t>
        </is>
      </c>
      <c r="C5" s="5">
        <f>COUNTIF(O12:O200,"A")</f>
        <v/>
      </c>
    </row>
    <row r="6">
      <c r="A6" s="6" t="inlineStr">
        <is>
          <t>B</t>
        </is>
      </c>
      <c r="B6" s="5" t="inlineStr">
        <is>
          <t>Approved with comments</t>
        </is>
      </c>
      <c r="C6" s="5">
        <f>COUNTIF(O12:O200,"B")</f>
        <v/>
      </c>
    </row>
    <row r="7">
      <c r="A7" s="7" t="inlineStr">
        <is>
          <t>C</t>
        </is>
      </c>
      <c r="B7" s="5" t="inlineStr">
        <is>
          <t>Rejected</t>
        </is>
      </c>
      <c r="C7" s="5">
        <f>COUNTIF(O12:O200,"C")</f>
        <v/>
      </c>
    </row>
    <row r="8">
      <c r="A8" s="8" t="inlineStr">
        <is>
          <t>S</t>
        </is>
      </c>
      <c r="B8" s="5" t="inlineStr">
        <is>
          <t>Submitted</t>
        </is>
      </c>
      <c r="C8" s="5">
        <f>COUNTIF(O12:O200,"S")</f>
        <v/>
      </c>
    </row>
    <row r="9">
      <c r="A9" s="9" t="inlineStr">
        <is>
          <t>T</t>
        </is>
      </c>
      <c r="B9" s="5" t="inlineStr">
        <is>
          <t>To be Submitted</t>
        </is>
      </c>
      <c r="C9" s="5">
        <f>COUNTIF(O12:O200,"T")</f>
        <v/>
      </c>
    </row>
    <row r="10">
      <c r="A10" s="10" t="inlineStr">
        <is>
          <t>O</t>
        </is>
      </c>
      <c r="B10" s="5" t="inlineStr">
        <is>
          <t>Omitted</t>
        </is>
      </c>
      <c r="C10" s="5">
        <f>COUNTIF(O12:O200,"O")</f>
        <v/>
      </c>
    </row>
    <row r="11">
      <c r="A11" s="11" t="inlineStr">
        <is>
          <t>Colors for "Approved with comments" and "Submitted" are a proposed extension of the official Brand DNA status palette (only Approved/Rejected/To be Submitted/Under Review/No Control Sample have official colors) — confirm or replace.</t>
        </is>
      </c>
    </row>
    <row r="12">
      <c r="A12" s="12" t="inlineStr"/>
    </row>
    <row r="13" ht="30" customHeight="1">
      <c r="A13" s="13" t="inlineStr">
        <is>
          <t>No.</t>
        </is>
      </c>
      <c r="B13" s="13" t="inlineStr">
        <is>
          <t>Material Code</t>
        </is>
      </c>
      <c r="C13" s="13" t="inlineStr">
        <is>
          <t>Thumbnail</t>
        </is>
      </c>
      <c r="D13" s="13" t="inlineStr">
        <is>
          <t>Category</t>
        </is>
      </c>
      <c r="E13" s="13" t="inlineStr">
        <is>
          <t>Description (FR)</t>
        </is>
      </c>
      <c r="F13" s="13" t="inlineStr">
        <is>
          <t>Description (EN)</t>
        </is>
      </c>
      <c r="G13" s="13" t="inlineStr">
        <is>
          <t>Finish / Vernish</t>
        </is>
      </c>
      <c r="H13" s="13" t="inlineStr">
        <is>
          <t>Finish Type</t>
        </is>
      </c>
      <c r="I13" s="13" t="inlineStr">
        <is>
          <t>Base Colour (if Compound)</t>
        </is>
      </c>
      <c r="J13" s="13" t="inlineStr">
        <is>
          <t>Applied Process (if Compound)</t>
        </is>
      </c>
      <c r="K13" s="13" t="inlineStr">
        <is>
          <t>Item Code (WDCO)</t>
        </is>
      </c>
      <c r="L13" s="13" t="inlineStr">
        <is>
          <t>Control Sample (Y/N)</t>
        </is>
      </c>
      <c r="M13" s="13" t="inlineStr">
        <is>
          <t>High-Res Available (Y/N)</t>
        </is>
      </c>
      <c r="N13" s="13" t="inlineStr">
        <is>
          <t>High-Res Link</t>
        </is>
      </c>
      <c r="O13" s="13" t="inlineStr">
        <is>
          <t>Status</t>
        </is>
      </c>
      <c r="P13" s="13" t="inlineStr">
        <is>
          <t>2026-07-27</t>
        </is>
      </c>
      <c r="Q13" s="13" t="inlineStr">
        <is>
          <t>2026-08-03</t>
        </is>
      </c>
      <c r="R13" s="13" t="inlineStr">
        <is>
          <t>2026-08-10</t>
        </is>
      </c>
      <c r="S13" s="13" t="inlineStr">
        <is>
          <t>2026-08-17</t>
        </is>
      </c>
      <c r="T13" s="13" t="inlineStr">
        <is>
          <t>2026-08-24</t>
        </is>
      </c>
      <c r="U13" s="13" t="inlineStr">
        <is>
          <t>Remarks / Open Issues</t>
        </is>
      </c>
    </row>
    <row r="14">
      <c r="A14" s="14" t="n">
        <v>1</v>
      </c>
      <c r="B14" s="14" t="inlineStr">
        <is>
          <t>FFE-WD-01</t>
        </is>
      </c>
      <c r="C14" s="14" t="inlineStr"/>
      <c r="D14" s="14" t="inlineStr">
        <is>
          <t>Wood</t>
        </is>
      </c>
      <c r="E14" s="15" t="inlineStr">
        <is>
          <t>Noyer</t>
        </is>
      </c>
      <c r="F14" s="15" t="inlineStr">
        <is>
          <t>Walnut</t>
        </is>
      </c>
      <c r="G14" s="14" t="inlineStr">
        <is>
          <t>Teinté satiné / Tinted satinated</t>
        </is>
      </c>
      <c r="H14" s="14" t="inlineStr">
        <is>
          <t>Single</t>
        </is>
      </c>
      <c r="I14" s="14" t="inlineStr"/>
      <c r="J14" s="14" t="inlineStr"/>
      <c r="K14" s="14" t="inlineStr">
        <is>
          <t>K5M-T1B1-CHA-BE-01</t>
        </is>
      </c>
      <c r="L14" s="14" t="inlineStr">
        <is>
          <t>N</t>
        </is>
      </c>
      <c r="M14" s="14" t="inlineStr">
        <is>
          <t>Y</t>
        </is>
      </c>
      <c r="N14" s="14" t="inlineStr"/>
      <c r="O14" s="14" t="inlineStr"/>
      <c r="P14" s="16" t="inlineStr"/>
      <c r="Q14" s="16" t="inlineStr"/>
      <c r="R14" s="16" t="inlineStr"/>
      <c r="S14" s="16" t="inlineStr"/>
      <c r="T14" s="16" t="inlineStr"/>
      <c r="U14" s="15" t="inlineStr">
        <is>
          <t>Bed base structure</t>
        </is>
      </c>
    </row>
    <row r="15">
      <c r="A15" s="14" t="n">
        <v>2</v>
      </c>
      <c r="B15" s="14" t="inlineStr">
        <is>
          <t>FFE-WD-01</t>
        </is>
      </c>
      <c r="C15" s="14" t="inlineStr"/>
      <c r="D15" s="14" t="inlineStr">
        <is>
          <t>Wood</t>
        </is>
      </c>
      <c r="E15" s="15" t="inlineStr">
        <is>
          <t>Noyer</t>
        </is>
      </c>
      <c r="F15" s="15" t="inlineStr">
        <is>
          <t>Walnut</t>
        </is>
      </c>
      <c r="G15" s="14" t="inlineStr">
        <is>
          <t>Teinté satiné / Tinted satinated</t>
        </is>
      </c>
      <c r="H15" s="14" t="inlineStr">
        <is>
          <t>Single</t>
        </is>
      </c>
      <c r="I15" s="14" t="inlineStr"/>
      <c r="J15" s="14" t="inlineStr"/>
      <c r="K15" s="14" t="inlineStr">
        <is>
          <t>K5M-T1B1-CHA-BE-01(B)</t>
        </is>
      </c>
      <c r="L15" s="14" t="inlineStr">
        <is>
          <t>N</t>
        </is>
      </c>
      <c r="M15" s="14" t="inlineStr">
        <is>
          <t>Y</t>
        </is>
      </c>
      <c r="N15" s="14" t="inlineStr"/>
      <c r="O15" s="14" t="inlineStr"/>
      <c r="P15" s="16" t="inlineStr"/>
      <c r="Q15" s="16" t="inlineStr"/>
      <c r="R15" s="16" t="inlineStr"/>
      <c r="S15" s="16" t="inlineStr"/>
      <c r="T15" s="16" t="inlineStr"/>
      <c r="U15" s="15" t="inlineStr">
        <is>
          <t>Headboard lateral panels — color must match FFE-WD-02</t>
        </is>
      </c>
    </row>
    <row r="16">
      <c r="A16" s="14" t="n">
        <v>3</v>
      </c>
      <c r="B16" s="14" t="inlineStr">
        <is>
          <t>FFE-WD-01</t>
        </is>
      </c>
      <c r="C16" s="14" t="inlineStr"/>
      <c r="D16" s="14" t="inlineStr">
        <is>
          <t>Wood</t>
        </is>
      </c>
      <c r="E16" s="15" t="inlineStr">
        <is>
          <t>Noyer</t>
        </is>
      </c>
      <c r="F16" s="15" t="inlineStr">
        <is>
          <t>Walnut</t>
        </is>
      </c>
      <c r="G16" s="14" t="inlineStr">
        <is>
          <t>Teinté satiné / Tinted satinated</t>
        </is>
      </c>
      <c r="H16" s="14" t="inlineStr">
        <is>
          <t>Single</t>
        </is>
      </c>
      <c r="I16" s="14" t="inlineStr"/>
      <c r="J16" s="14" t="inlineStr"/>
      <c r="K16" s="14" t="inlineStr">
        <is>
          <t>K5M-T1B1-CHA-CS-01</t>
        </is>
      </c>
      <c r="L16" s="14" t="inlineStr">
        <is>
          <t>N</t>
        </is>
      </c>
      <c r="M16" s="14" t="inlineStr">
        <is>
          <t>Y</t>
        </is>
      </c>
      <c r="N16" s="14" t="inlineStr"/>
      <c r="O16" s="14" t="inlineStr"/>
      <c r="P16" s="16" t="inlineStr"/>
      <c r="Q16" s="16" t="inlineStr"/>
      <c r="R16" s="16" t="inlineStr"/>
      <c r="S16" s="16" t="inlineStr"/>
      <c r="T16" s="16" t="inlineStr"/>
      <c r="U16" s="15" t="inlineStr">
        <is>
          <t>Console structure</t>
        </is>
      </c>
    </row>
    <row r="17">
      <c r="A17" s="14" t="n">
        <v>4</v>
      </c>
      <c r="B17" s="14" t="inlineStr">
        <is>
          <t>FA-03</t>
        </is>
      </c>
      <c r="C17" s="14" t="inlineStr"/>
      <c r="D17" s="14" t="inlineStr">
        <is>
          <t>Fabric</t>
        </is>
      </c>
      <c r="E17" s="15" t="inlineStr">
        <is>
          <t>LI 872 02 Flots nacreux</t>
        </is>
      </c>
      <c r="F17" s="15" t="inlineStr">
        <is>
          <t>LI 872 02 Flots nacreux (Elitis)</t>
        </is>
      </c>
      <c r="G17" s="14" t="inlineStr"/>
      <c r="H17" s="14" t="inlineStr">
        <is>
          <t>Single</t>
        </is>
      </c>
      <c r="I17" s="14" t="inlineStr"/>
      <c r="J17" s="14" t="inlineStr"/>
      <c r="K17" s="14" t="inlineStr">
        <is>
          <t>K5M-T1B1-CHA-BE-01</t>
        </is>
      </c>
      <c r="L17" s="14" t="inlineStr">
        <is>
          <t>Pending</t>
        </is>
      </c>
      <c r="M17" s="14" t="inlineStr">
        <is>
          <t>N</t>
        </is>
      </c>
      <c r="N17" s="14" t="inlineStr"/>
      <c r="O17" s="14" t="inlineStr"/>
      <c r="P17" s="16" t="inlineStr"/>
      <c r="Q17" s="16" t="inlineStr"/>
      <c r="R17" s="16" t="inlineStr"/>
      <c r="S17" s="16" t="inlineStr"/>
      <c r="T17" s="16" t="inlineStr"/>
      <c r="U17" s="15" t="inlineStr">
        <is>
          <t>Bed spring-box fabric; sample sent by Elitis 21 Jul, no further update logged since</t>
        </is>
      </c>
    </row>
    <row r="18">
      <c r="A18" s="14" t="n">
        <v>5</v>
      </c>
      <c r="B18" s="14" t="inlineStr">
        <is>
          <t>FA-02</t>
        </is>
      </c>
      <c r="C18" s="14" t="inlineStr"/>
      <c r="D18" s="14" t="inlineStr">
        <is>
          <t>Fabric</t>
        </is>
      </c>
      <c r="E18" s="15" t="inlineStr">
        <is>
          <t>2946-A black (Naturtex)</t>
        </is>
      </c>
      <c r="F18" s="15" t="inlineStr">
        <is>
          <t>2946-A black (Naturtex)</t>
        </is>
      </c>
      <c r="G18" s="14" t="inlineStr">
        <is>
          <t>Teinte Saule de G&amp;B</t>
        </is>
      </c>
      <c r="H18" s="14" t="inlineStr">
        <is>
          <t>Single</t>
        </is>
      </c>
      <c r="I18" s="14" t="inlineStr"/>
      <c r="J18" s="14" t="inlineStr"/>
      <c r="K18" s="14" t="inlineStr">
        <is>
          <t>K5M-T1B1-CHA-BE-01(B)</t>
        </is>
      </c>
      <c r="L18" s="14" t="inlineStr">
        <is>
          <t>N/A</t>
        </is>
      </c>
      <c r="M18" s="14" t="inlineStr">
        <is>
          <t>N/A</t>
        </is>
      </c>
      <c r="N18" s="14" t="inlineStr"/>
      <c r="O18" s="14" t="inlineStr"/>
      <c r="P18" s="16" t="inlineStr"/>
      <c r="Q18" s="16" t="inlineStr"/>
      <c r="R18" s="16" t="inlineStr"/>
      <c r="S18" s="16" t="inlineStr"/>
      <c r="T18" s="16" t="inlineStr"/>
      <c r="U18" s="15" t="inlineStr">
        <is>
          <t>Headboard center panel — in-house G&amp;B production, cannot source from an external supplier (dead end, confirmed in fabric tracker)</t>
        </is>
      </c>
    </row>
    <row r="19">
      <c r="A19" s="14" t="n">
        <v>6</v>
      </c>
      <c r="B19" s="14" t="inlineStr">
        <is>
          <t>FFE-ME-02</t>
        </is>
      </c>
      <c r="C19" s="14" t="inlineStr"/>
      <c r="D19" s="14" t="inlineStr">
        <is>
          <t>Metal</t>
        </is>
      </c>
      <c r="E19" s="15" t="inlineStr">
        <is>
          <t>Laiton martelé, patiné noir</t>
        </is>
      </c>
      <c r="F19" s="15" t="inlineStr">
        <is>
          <t>Hammered brass, dark patinated</t>
        </is>
      </c>
      <c r="G19" s="14" t="inlineStr">
        <is>
          <t>Patiné noir / Dark patinated</t>
        </is>
      </c>
      <c r="H19" s="14" t="inlineStr">
        <is>
          <t>Compound</t>
        </is>
      </c>
      <c r="I19" s="14" t="inlineStr">
        <is>
          <t>Dark patina (match FFE-ME-01)</t>
        </is>
      </c>
      <c r="J19" s="14" t="inlineStr">
        <is>
          <t>Hammered (martelé)</t>
        </is>
      </c>
      <c r="K19" s="14" t="inlineStr">
        <is>
          <t>K5M-T1B1-CHA-BE-01(B)</t>
        </is>
      </c>
      <c r="L19" s="14" t="inlineStr">
        <is>
          <t>N</t>
        </is>
      </c>
      <c r="M19" s="14" t="inlineStr">
        <is>
          <t>Y</t>
        </is>
      </c>
      <c r="N19" s="14" t="inlineStr"/>
      <c r="O19" s="14" t="inlineStr"/>
      <c r="P19" s="16" t="inlineStr"/>
      <c r="Q19" s="16" t="inlineStr"/>
      <c r="R19" s="16" t="inlineStr"/>
      <c r="S19" s="16" t="inlineStr"/>
      <c r="T19" s="16" t="inlineStr"/>
      <c r="U19" s="15" t="inlineStr">
        <is>
          <t>Headboard frame</t>
        </is>
      </c>
    </row>
    <row r="20">
      <c r="A20" s="14" t="n">
        <v>7</v>
      </c>
      <c r="B20" s="14" t="inlineStr">
        <is>
          <t>FFE-ME-07</t>
        </is>
      </c>
      <c r="C20" s="14" t="inlineStr"/>
      <c r="D20" s="14" t="inlineStr">
        <is>
          <t>Metal</t>
        </is>
      </c>
      <c r="E20" s="15" t="inlineStr">
        <is>
          <t>Métal patiné noir</t>
        </is>
      </c>
      <c r="F20" s="15" t="inlineStr">
        <is>
          <t>Metal dark patinated</t>
        </is>
      </c>
      <c r="G20" s="14" t="inlineStr"/>
      <c r="H20" s="14" t="inlineStr">
        <is>
          <t>Single</t>
        </is>
      </c>
      <c r="I20" s="14" t="inlineStr"/>
      <c r="J20" s="14" t="inlineStr"/>
      <c r="K20" s="14" t="inlineStr">
        <is>
          <t>K5M-T1B1-CHA-BT-01</t>
        </is>
      </c>
      <c r="L20" s="14" t="inlineStr">
        <is>
          <t>N</t>
        </is>
      </c>
      <c r="M20" s="14" t="inlineStr">
        <is>
          <t>N</t>
        </is>
      </c>
      <c r="N20" s="14" t="inlineStr"/>
      <c r="O20" s="14" t="inlineStr"/>
      <c r="P20" s="16" t="inlineStr"/>
      <c r="Q20" s="16" t="inlineStr"/>
      <c r="R20" s="16" t="inlineStr"/>
      <c r="S20" s="16" t="inlineStr"/>
      <c r="T20" s="16" t="inlineStr"/>
      <c r="U20" s="15" t="inlineStr">
        <is>
          <t>Bedside table (CG01) legs; patina must visually match FFE-ME-01 per G&amp;B note; material reference still missing</t>
        </is>
      </c>
    </row>
    <row r="21">
      <c r="A21" s="14" t="n">
        <v>8</v>
      </c>
      <c r="B21" s="14" t="inlineStr">
        <is>
          <t>FFE-ST-02</t>
        </is>
      </c>
      <c r="C21" s="14" t="inlineStr"/>
      <c r="D21" s="14" t="inlineStr">
        <is>
          <t>Stone</t>
        </is>
      </c>
      <c r="E21" s="15" t="inlineStr">
        <is>
          <t>Calacatta Oro</t>
        </is>
      </c>
      <c r="F21" s="15" t="inlineStr">
        <is>
          <t>Calacatta Oro</t>
        </is>
      </c>
      <c r="G21" s="14" t="inlineStr">
        <is>
          <t>Honed / Adouci</t>
        </is>
      </c>
      <c r="H21" s="14" t="inlineStr">
        <is>
          <t>Single</t>
        </is>
      </c>
      <c r="I21" s="14" t="inlineStr"/>
      <c r="J21" s="14" t="inlineStr"/>
      <c r="K21" s="14" t="inlineStr">
        <is>
          <t>K5M-T1B1-CHA-BT-01</t>
        </is>
      </c>
      <c r="L21" s="14" t="inlineStr">
        <is>
          <t>N</t>
        </is>
      </c>
      <c r="M21" s="14" t="inlineStr">
        <is>
          <t>N</t>
        </is>
      </c>
      <c r="N21" s="14" t="inlineStr"/>
      <c r="O21" s="14" t="inlineStr"/>
      <c r="P21" s="16" t="inlineStr"/>
      <c r="Q21" s="16" t="inlineStr"/>
      <c r="R21" s="16" t="inlineStr"/>
      <c r="S21" s="16" t="inlineStr"/>
      <c r="T21" s="16" t="inlineStr"/>
      <c r="U21" s="15" t="inlineStr">
        <is>
          <t>Bedside table top/shelf; sample still to be provided by supplier</t>
        </is>
      </c>
    </row>
    <row r="22">
      <c r="A22" s="14" t="n">
        <v>9</v>
      </c>
      <c r="B22" s="14" t="inlineStr">
        <is>
          <t>FFE-ST-01</t>
        </is>
      </c>
      <c r="C22" s="14" t="inlineStr"/>
      <c r="D22" s="14" t="inlineStr">
        <is>
          <t>Stone</t>
        </is>
      </c>
      <c r="E22" s="15" t="inlineStr">
        <is>
          <t>Taj Mahal (anciennement Onyx miel)</t>
        </is>
      </c>
      <c r="F22" s="15" t="inlineStr">
        <is>
          <t>Taj Mahal (was Onyx Honey)</t>
        </is>
      </c>
      <c r="G22" s="14" t="inlineStr">
        <is>
          <t>Honed / Adouci</t>
        </is>
      </c>
      <c r="H22" s="14" t="inlineStr">
        <is>
          <t>Single</t>
        </is>
      </c>
      <c r="I22" s="14" t="inlineStr"/>
      <c r="J22" s="14" t="inlineStr"/>
      <c r="K22" s="14" t="inlineStr">
        <is>
          <t>K5M-T1B1-CHA-CS-01</t>
        </is>
      </c>
      <c r="L22" s="14" t="inlineStr">
        <is>
          <t>N</t>
        </is>
      </c>
      <c r="M22" s="14" t="inlineStr">
        <is>
          <t>N</t>
        </is>
      </c>
      <c r="N22" s="14" t="inlineStr"/>
      <c r="O22" s="14" t="inlineStr"/>
      <c r="P22" s="16" t="inlineStr"/>
      <c r="Q22" s="16" t="inlineStr"/>
      <c r="R22" s="16" t="inlineStr"/>
      <c r="S22" s="16" t="inlineStr"/>
      <c r="T22" s="16" t="inlineStr"/>
      <c r="U22" s="15" t="inlineStr">
        <is>
          <t>Console top; SUBSTITUTED from Onyx Honey to Taj Mahal per 21 Jul 2026 material list update — sample still to be provided by supplier</t>
        </is>
      </c>
    </row>
    <row r="23">
      <c r="A23" s="14" t="n">
        <v>10</v>
      </c>
      <c r="B23" s="14" t="inlineStr">
        <is>
          <t>FFE-WD-02</t>
        </is>
      </c>
      <c r="C23" s="14" t="inlineStr"/>
      <c r="D23" s="14" t="inlineStr">
        <is>
          <t>Wood</t>
        </is>
      </c>
      <c r="E23" s="15" t="inlineStr">
        <is>
          <t>Chêne teinté fumé brossé</t>
        </is>
      </c>
      <c r="F23" s="15" t="inlineStr">
        <is>
          <t>Smoked tinted brushed oak</t>
        </is>
      </c>
      <c r="G23" s="14" t="inlineStr">
        <is>
          <t>Légèrement satiné</t>
        </is>
      </c>
      <c r="H23" s="14" t="inlineStr">
        <is>
          <t>Single</t>
        </is>
      </c>
      <c r="I23" s="14" t="inlineStr"/>
      <c r="J23" s="14" t="inlineStr"/>
      <c r="K23" s="14" t="inlineStr">
        <is>
          <t>K5M-T1B1-CHA-RT-01</t>
        </is>
      </c>
      <c r="L23" s="14" t="inlineStr">
        <is>
          <t>N</t>
        </is>
      </c>
      <c r="M23" s="14" t="inlineStr">
        <is>
          <t>Y</t>
        </is>
      </c>
      <c r="N23" s="14" t="inlineStr"/>
      <c r="O23" s="14" t="inlineStr"/>
      <c r="P23" s="16" t="inlineStr"/>
      <c r="Q23" s="16" t="inlineStr"/>
      <c r="R23" s="16" t="inlineStr"/>
      <c r="S23" s="16" t="inlineStr"/>
      <c r="T23" s="16" t="inlineStr"/>
      <c r="U23" s="15" t="inlineStr">
        <is>
          <t>Small round table barrel/belt — color must match FFE-WD-01</t>
        </is>
      </c>
    </row>
    <row r="24">
      <c r="A24" s="14" t="n">
        <v>11</v>
      </c>
      <c r="B24" s="14" t="inlineStr">
        <is>
          <t>FFE-ST-04</t>
        </is>
      </c>
      <c r="C24" s="14" t="inlineStr"/>
      <c r="D24" s="14" t="inlineStr">
        <is>
          <t>Stone</t>
        </is>
      </c>
      <c r="E24" s="15" t="inlineStr">
        <is>
          <t>Alabaster</t>
        </is>
      </c>
      <c r="F24" s="15" t="inlineStr">
        <is>
          <t>Alabaster</t>
        </is>
      </c>
      <c r="G24" s="14" t="inlineStr"/>
      <c r="H24" s="14" t="inlineStr">
        <is>
          <t>Single</t>
        </is>
      </c>
      <c r="I24" s="14" t="inlineStr"/>
      <c r="J24" s="14" t="inlineStr"/>
      <c r="K24" s="14" t="inlineStr">
        <is>
          <t>K5M-T1B1-CHA-RT-01</t>
        </is>
      </c>
      <c r="L24" s="14" t="inlineStr">
        <is>
          <t>N</t>
        </is>
      </c>
      <c r="M24" s="14" t="inlineStr">
        <is>
          <t>N</t>
        </is>
      </c>
      <c r="N24" s="14" t="inlineStr"/>
      <c r="O24" s="14" t="inlineStr"/>
      <c r="P24" s="16" t="inlineStr"/>
      <c r="Q24" s="16" t="inlineStr"/>
      <c r="R24" s="16" t="inlineStr"/>
      <c r="S24" s="16" t="inlineStr"/>
      <c r="T24" s="16" t="inlineStr"/>
      <c r="U24" s="15" t="inlineStr">
        <is>
          <t>Small round table top</t>
        </is>
      </c>
    </row>
    <row r="25">
      <c r="A25" s="14" t="n">
        <v>12</v>
      </c>
      <c r="B25" s="14" t="inlineStr">
        <is>
          <t>FFE-GL-02</t>
        </is>
      </c>
      <c r="C25" s="14" t="inlineStr"/>
      <c r="D25" s="14" t="inlineStr">
        <is>
          <t>Glass</t>
        </is>
      </c>
      <c r="E25" s="15" t="inlineStr">
        <is>
          <t>Verre ambré texturé</t>
        </is>
      </c>
      <c r="F25" s="15" t="inlineStr">
        <is>
          <t>Amber textured glass</t>
        </is>
      </c>
      <c r="G25" s="14" t="inlineStr"/>
      <c r="H25" s="14" t="inlineStr">
        <is>
          <t>Single</t>
        </is>
      </c>
      <c r="I25" s="14" t="inlineStr"/>
      <c r="J25" s="14" t="inlineStr"/>
      <c r="K25" s="14" t="inlineStr">
        <is>
          <t>K5M-T1B1-CHA-WS-01</t>
        </is>
      </c>
      <c r="L25" s="14" t="inlineStr">
        <is>
          <t>N</t>
        </is>
      </c>
      <c r="M25" s="14" t="inlineStr">
        <is>
          <t>Y</t>
        </is>
      </c>
      <c r="N25" s="14" t="inlineStr"/>
      <c r="O25" s="14" t="inlineStr"/>
      <c r="P25" s="16" t="inlineStr"/>
      <c r="Q25" s="16" t="inlineStr"/>
      <c r="R25" s="16" t="inlineStr"/>
      <c r="S25" s="16" t="inlineStr"/>
      <c r="T25" s="16" t="inlineStr"/>
      <c r="U25" s="15" t="inlineStr">
        <is>
          <t>Bedroom sconce (LT01) panels</t>
        </is>
      </c>
    </row>
    <row r="26">
      <c r="A26" s="14" t="n">
        <v>13</v>
      </c>
      <c r="B26" s="14" t="inlineStr">
        <is>
          <t>FFE-ME-07</t>
        </is>
      </c>
      <c r="C26" s="14" t="inlineStr"/>
      <c r="D26" s="14" t="inlineStr">
        <is>
          <t>Metal</t>
        </is>
      </c>
      <c r="E26" s="15" t="inlineStr">
        <is>
          <t>Métal patiné noir</t>
        </is>
      </c>
      <c r="F26" s="15" t="inlineStr">
        <is>
          <t>Metal dark patinated</t>
        </is>
      </c>
      <c r="G26" s="14" t="inlineStr"/>
      <c r="H26" s="14" t="inlineStr">
        <is>
          <t>Single</t>
        </is>
      </c>
      <c r="I26" s="14" t="inlineStr"/>
      <c r="J26" s="14" t="inlineStr"/>
      <c r="K26" s="14" t="inlineStr">
        <is>
          <t>K5M-T1B1-CHA-WS-01</t>
        </is>
      </c>
      <c r="L26" s="14" t="inlineStr">
        <is>
          <t>N</t>
        </is>
      </c>
      <c r="M26" s="14" t="inlineStr">
        <is>
          <t>N</t>
        </is>
      </c>
      <c r="N26" s="14" t="inlineStr"/>
      <c r="O26" s="14" t="inlineStr"/>
      <c r="P26" s="16" t="inlineStr"/>
      <c r="Q26" s="16" t="inlineStr"/>
      <c r="R26" s="16" t="inlineStr"/>
      <c r="S26" s="16" t="inlineStr"/>
      <c r="T26" s="16" t="inlineStr"/>
      <c r="U26" s="15" t="inlineStr">
        <is>
          <t>Bedroom sconce (LT01) structure</t>
        </is>
      </c>
    </row>
    <row r="27">
      <c r="A27" s="14" t="n">
        <v>14</v>
      </c>
      <c r="B27" s="14" t="inlineStr">
        <is>
          <t>FFE-ME-08</t>
        </is>
      </c>
      <c r="C27" s="14" t="inlineStr"/>
      <c r="D27" s="14" t="inlineStr">
        <is>
          <t>Metal</t>
        </is>
      </c>
      <c r="E27" s="15" t="inlineStr">
        <is>
          <t>Bronze patiné noir</t>
        </is>
      </c>
      <c r="F27" s="15" t="inlineStr">
        <is>
          <t>Bronze black patinated</t>
        </is>
      </c>
      <c r="G27" s="14" t="inlineStr"/>
      <c r="H27" s="14" t="inlineStr">
        <is>
          <t>Single</t>
        </is>
      </c>
      <c r="I27" s="14" t="inlineStr"/>
      <c r="J27" s="14" t="inlineStr"/>
      <c r="K27" s="14" t="inlineStr">
        <is>
          <t>K5M-T1B1-CHA-TL-01</t>
        </is>
      </c>
      <c r="L27" s="14" t="inlineStr">
        <is>
          <t>N</t>
        </is>
      </c>
      <c r="M27" s="14" t="inlineStr">
        <is>
          <t>Y</t>
        </is>
      </c>
      <c r="N27" s="14" t="inlineStr"/>
      <c r="O27" s="14" t="inlineStr"/>
      <c r="P27" s="16" t="inlineStr"/>
      <c r="Q27" s="16" t="inlineStr"/>
      <c r="R27" s="16" t="inlineStr"/>
      <c r="S27" s="16" t="inlineStr"/>
      <c r="T27" s="16" t="inlineStr"/>
      <c r="U27" s="15" t="inlineStr">
        <is>
          <t>Bedside table lamp (LT03) barrel</t>
        </is>
      </c>
    </row>
    <row r="28">
      <c r="A28" s="14" t="n">
        <v>15</v>
      </c>
      <c r="B28" s="14" t="inlineStr">
        <is>
          <t>FA-07</t>
        </is>
      </c>
      <c r="C28" s="14" t="inlineStr"/>
      <c r="D28" s="14" t="inlineStr">
        <is>
          <t>Fabric</t>
        </is>
      </c>
      <c r="E28" s="15" t="inlineStr">
        <is>
          <t>Gabor 001 avorio (Dedar)</t>
        </is>
      </c>
      <c r="F28" s="15" t="inlineStr">
        <is>
          <t>Gabor 001 avorio (Dedar)</t>
        </is>
      </c>
      <c r="G28" s="14" t="inlineStr"/>
      <c r="H28" s="14" t="inlineStr">
        <is>
          <t>Single</t>
        </is>
      </c>
      <c r="I28" s="14" t="inlineStr"/>
      <c r="J28" s="14" t="inlineStr"/>
      <c r="K28" s="14" t="inlineStr">
        <is>
          <t>K5M-T1B1-CHA-TL-01</t>
        </is>
      </c>
      <c r="L28" s="14" t="inlineStr">
        <is>
          <t>Y</t>
        </is>
      </c>
      <c r="M28" s="14" t="inlineStr">
        <is>
          <t>Y</t>
        </is>
      </c>
      <c r="N28" s="14" t="inlineStr"/>
      <c r="O28" s="14" t="inlineStr"/>
      <c r="P28" s="16" t="inlineStr"/>
      <c r="Q28" s="16" t="inlineStr"/>
      <c r="R28" s="16" t="inlineStr"/>
      <c r="S28" s="16" t="inlineStr"/>
      <c r="T28" s="16" t="inlineStr"/>
      <c r="U28" s="15" t="inlineStr">
        <is>
          <t>Bedside lamp shade; sample RECEIVED from Dedar 23 Jul 2026 — image sourced by us directly from Dedar, not client-provided</t>
        </is>
      </c>
    </row>
    <row r="29">
      <c r="A29" s="14" t="n">
        <v>16</v>
      </c>
      <c r="B29" s="14" t="inlineStr">
        <is>
          <t>PP-01</t>
        </is>
      </c>
      <c r="C29" s="14" t="inlineStr"/>
      <c r="D29" s="14" t="inlineStr">
        <is>
          <t>Fabric</t>
        </is>
      </c>
      <c r="E29" s="15" t="inlineStr">
        <is>
          <t>Tiverton border 19mm (Samuel &amp; Sons)</t>
        </is>
      </c>
      <c r="F29" s="15" t="inlineStr">
        <is>
          <t>Tiverton border 19mm (Samuel &amp; Sons)</t>
        </is>
      </c>
      <c r="G29" s="14" t="inlineStr"/>
      <c r="H29" s="14" t="inlineStr">
        <is>
          <t>Single</t>
        </is>
      </c>
      <c r="I29" s="14" t="inlineStr"/>
      <c r="J29" s="14" t="inlineStr"/>
      <c r="K29" s="14" t="inlineStr">
        <is>
          <t>K5M-T1B1-CHA-TL-01</t>
        </is>
      </c>
      <c r="L29" s="14" t="inlineStr">
        <is>
          <t>Open decision</t>
        </is>
      </c>
      <c r="M29" s="14" t="inlineStr">
        <is>
          <t>Y</t>
        </is>
      </c>
      <c r="N29" s="14" t="inlineStr"/>
      <c r="O29" s="14" t="inlineStr"/>
      <c r="P29" s="16" t="inlineStr"/>
      <c r="Q29" s="16" t="inlineStr"/>
      <c r="R29" s="16" t="inlineStr"/>
      <c r="S29" s="16" t="inlineStr"/>
      <c r="T29" s="16" t="inlineStr"/>
      <c r="U29" s="15" t="inlineStr">
        <is>
          <t>Lampshade trim; Samuel &amp; Sons refused a free sample — OPEN DECISION: pay for 1 ML or not (your call). Product image sourced by us directly.</t>
        </is>
      </c>
    </row>
    <row r="30">
      <c r="A30" s="14" t="n">
        <v>17</v>
      </c>
      <c r="B30" s="14" t="inlineStr">
        <is>
          <t>FFE-ME-07</t>
        </is>
      </c>
      <c r="C30" s="14" t="inlineStr"/>
      <c r="D30" s="14" t="inlineStr">
        <is>
          <t>Metal</t>
        </is>
      </c>
      <c r="E30" s="15" t="inlineStr">
        <is>
          <t>Métal patiné noir</t>
        </is>
      </c>
      <c r="F30" s="15" t="inlineStr">
        <is>
          <t>Metal dark patinated</t>
        </is>
      </c>
      <c r="G30" s="14" t="inlineStr"/>
      <c r="H30" s="14" t="inlineStr">
        <is>
          <t>Single</t>
        </is>
      </c>
      <c r="I30" s="14" t="inlineStr"/>
      <c r="J30" s="14" t="inlineStr"/>
      <c r="K30" s="14" t="inlineStr">
        <is>
          <t>K5M-T1B1-CHA-SL-01</t>
        </is>
      </c>
      <c r="L30" s="14" t="inlineStr">
        <is>
          <t>N</t>
        </is>
      </c>
      <c r="M30" s="14" t="inlineStr">
        <is>
          <t>N</t>
        </is>
      </c>
      <c r="N30" s="14" t="inlineStr"/>
      <c r="O30" s="14" t="inlineStr"/>
      <c r="P30" s="16" t="inlineStr"/>
      <c r="Q30" s="16" t="inlineStr"/>
      <c r="R30" s="16" t="inlineStr"/>
      <c r="S30" s="16" t="inlineStr"/>
      <c r="T30" s="16" t="inlineStr"/>
      <c r="U30" s="15" t="inlineStr">
        <is>
          <t>Stool (SE02) structure</t>
        </is>
      </c>
    </row>
    <row r="31">
      <c r="A31" s="14" t="n">
        <v>18</v>
      </c>
      <c r="B31" s="14" t="inlineStr">
        <is>
          <t>FA-06</t>
        </is>
      </c>
      <c r="C31" s="14" t="inlineStr"/>
      <c r="D31" s="14" t="inlineStr">
        <is>
          <t>Fabric</t>
        </is>
      </c>
      <c r="E31" s="15" t="inlineStr">
        <is>
          <t>A-768 (Naturtex)</t>
        </is>
      </c>
      <c r="F31" s="15" t="inlineStr">
        <is>
          <t>A-768 (Naturtex)</t>
        </is>
      </c>
      <c r="G31" s="14" t="inlineStr"/>
      <c r="H31" s="14" t="inlineStr">
        <is>
          <t>Single</t>
        </is>
      </c>
      <c r="I31" s="14" t="inlineStr"/>
      <c r="J31" s="14" t="inlineStr"/>
      <c r="K31" s="14" t="inlineStr">
        <is>
          <t>K5M-T1B1-CHA-SL-01</t>
        </is>
      </c>
      <c r="L31" s="14" t="inlineStr">
        <is>
          <t>Pending</t>
        </is>
      </c>
      <c r="M31" s="14" t="inlineStr">
        <is>
          <t>Y</t>
        </is>
      </c>
      <c r="N31" s="14" t="inlineStr"/>
      <c r="O31" s="14" t="inlineStr"/>
      <c r="P31" s="16" t="inlineStr"/>
      <c r="Q31" s="16" t="inlineStr"/>
      <c r="R31" s="16" t="inlineStr"/>
      <c r="S31" s="16" t="inlineStr"/>
      <c r="T31" s="16" t="inlineStr"/>
      <c r="U31" s="15" t="inlineStr">
        <is>
          <t>Stool seat; referred to Warps &amp; Wefts (Naturtex ME rep), awaiting sample/stock/pricing. Image sourced by us directly.</t>
        </is>
      </c>
    </row>
    <row r="32">
      <c r="A32" s="14" t="n">
        <v>19</v>
      </c>
      <c r="B32" s="14" t="inlineStr">
        <is>
          <t>FFE-WD-02</t>
        </is>
      </c>
      <c r="C32" s="14" t="inlineStr"/>
      <c r="D32" s="14" t="inlineStr">
        <is>
          <t>Wood</t>
        </is>
      </c>
      <c r="E32" s="15" t="inlineStr">
        <is>
          <t>Chêne teinté fumé brossé</t>
        </is>
      </c>
      <c r="F32" s="15" t="inlineStr">
        <is>
          <t>Smoked tinted brushed oak</t>
        </is>
      </c>
      <c r="G32" s="14" t="inlineStr">
        <is>
          <t>Légèrement satiné</t>
        </is>
      </c>
      <c r="H32" s="14" t="inlineStr">
        <is>
          <t>Single</t>
        </is>
      </c>
      <c r="I32" s="14" t="inlineStr"/>
      <c r="J32" s="14" t="inlineStr"/>
      <c r="K32" s="14" t="inlineStr">
        <is>
          <t>K5M-T1B1-CHA-AC-01</t>
        </is>
      </c>
      <c r="L32" s="14" t="inlineStr">
        <is>
          <t>N</t>
        </is>
      </c>
      <c r="M32" s="14" t="inlineStr">
        <is>
          <t>Y</t>
        </is>
      </c>
      <c r="N32" s="14" t="inlineStr"/>
      <c r="O32" s="14" t="inlineStr"/>
      <c r="P32" s="16" t="inlineStr"/>
      <c r="Q32" s="16" t="inlineStr"/>
      <c r="R32" s="16" t="inlineStr"/>
      <c r="S32" s="16" t="inlineStr"/>
      <c r="T32" s="16" t="inlineStr"/>
      <c r="U32" s="15" t="inlineStr">
        <is>
          <t>Armchair structure</t>
        </is>
      </c>
    </row>
    <row r="33">
      <c r="A33" s="14" t="n">
        <v>20</v>
      </c>
      <c r="B33" s="14" t="inlineStr">
        <is>
          <t>FA-10</t>
        </is>
      </c>
      <c r="C33" s="14" t="inlineStr"/>
      <c r="D33" s="14" t="inlineStr">
        <is>
          <t>Fabric</t>
        </is>
      </c>
      <c r="E33" s="15" t="inlineStr">
        <is>
          <t>"Caoutchouc grainé" cuir (G&amp;B)</t>
        </is>
      </c>
      <c r="F33" s="15" t="inlineStr">
        <is>
          <t>"Caoutchouc grainé" leather (G&amp;B)</t>
        </is>
      </c>
      <c r="G33" s="14" t="inlineStr"/>
      <c r="H33" s="14" t="inlineStr">
        <is>
          <t>Single</t>
        </is>
      </c>
      <c r="I33" s="14" t="inlineStr"/>
      <c r="J33" s="14" t="inlineStr"/>
      <c r="K33" s="14" t="inlineStr">
        <is>
          <t>K5M-T1B1-CHA-AC-01</t>
        </is>
      </c>
      <c r="L33" s="14" t="inlineStr">
        <is>
          <t>N</t>
        </is>
      </c>
      <c r="M33" s="14" t="inlineStr">
        <is>
          <t>N</t>
        </is>
      </c>
      <c r="N33" s="14" t="inlineStr"/>
      <c r="O33" s="14" t="inlineStr"/>
      <c r="P33" s="16" t="inlineStr"/>
      <c r="Q33" s="16" t="inlineStr"/>
      <c r="R33" s="16" t="inlineStr"/>
      <c r="S33" s="16" t="inlineStr"/>
      <c r="T33" s="16" t="inlineStr"/>
      <c r="U33" s="15" t="inlineStr">
        <is>
          <t>Armchair upholstery; G&amp;B in-house material, sourcing status not yet logged in fabric tracker</t>
        </is>
      </c>
    </row>
    <row r="34">
      <c r="A34" s="14" t="n">
        <v>21</v>
      </c>
      <c r="B34" s="14" t="inlineStr">
        <is>
          <t>FFE-ME-09</t>
        </is>
      </c>
      <c r="C34" s="14" t="inlineStr"/>
      <c r="D34" s="14" t="inlineStr">
        <is>
          <t>Metal</t>
        </is>
      </c>
      <c r="E34" s="15" t="inlineStr">
        <is>
          <t>Métal perforé</t>
        </is>
      </c>
      <c r="F34" s="15" t="inlineStr">
        <is>
          <t>Perforated metal</t>
        </is>
      </c>
      <c r="G34" s="14" t="inlineStr"/>
      <c r="H34" s="14" t="inlineStr">
        <is>
          <t>Single</t>
        </is>
      </c>
      <c r="I34" s="14" t="inlineStr"/>
      <c r="J34" s="14" t="inlineStr"/>
      <c r="K34" s="14" t="inlineStr">
        <is>
          <t>K5M-T1B1-ENT-WS-01</t>
        </is>
      </c>
      <c r="L34" s="14" t="inlineStr">
        <is>
          <t>N</t>
        </is>
      </c>
      <c r="M34" s="14" t="inlineStr">
        <is>
          <t>Y</t>
        </is>
      </c>
      <c r="N34" s="14" t="inlineStr"/>
      <c r="O34" s="14" t="inlineStr"/>
      <c r="P34" s="16" t="inlineStr"/>
      <c r="Q34" s="16" t="inlineStr"/>
      <c r="R34" s="16" t="inlineStr"/>
      <c r="S34" s="16" t="inlineStr"/>
      <c r="T34" s="16" t="inlineStr"/>
      <c r="U34" s="15" t="inlineStr">
        <is>
          <t>Entrance sconce (LT01) shade</t>
        </is>
      </c>
    </row>
    <row r="35">
      <c r="A35" s="14" t="n">
        <v>22</v>
      </c>
      <c r="B35" s="14" t="inlineStr">
        <is>
          <t>FFE-ME-01</t>
        </is>
      </c>
      <c r="C35" s="14" t="inlineStr"/>
      <c r="D35" s="14" t="inlineStr">
        <is>
          <t>Metal</t>
        </is>
      </c>
      <c r="E35" s="15" t="inlineStr">
        <is>
          <t>Laiton patiné</t>
        </is>
      </c>
      <c r="F35" s="15" t="inlineStr">
        <is>
          <t>Patinated brass</t>
        </is>
      </c>
      <c r="G35" s="14" t="inlineStr"/>
      <c r="H35" s="14" t="inlineStr">
        <is>
          <t>Single</t>
        </is>
      </c>
      <c r="I35" s="14" t="inlineStr"/>
      <c r="J35" s="14" t="inlineStr"/>
      <c r="K35" s="14" t="inlineStr">
        <is>
          <t>K5M-T1B1-ENT-WS-01</t>
        </is>
      </c>
      <c r="L35" s="14" t="inlineStr">
        <is>
          <t>N</t>
        </is>
      </c>
      <c r="M35" s="14" t="inlineStr">
        <is>
          <t>N</t>
        </is>
      </c>
      <c r="N35" s="14" t="inlineStr"/>
      <c r="O35" s="14" t="inlineStr"/>
      <c r="P35" s="16" t="inlineStr"/>
      <c r="Q35" s="16" t="inlineStr"/>
      <c r="R35" s="16" t="inlineStr"/>
      <c r="S35" s="16" t="inlineStr"/>
      <c r="T35" s="16" t="inlineStr"/>
      <c r="U35" s="15" t="inlineStr">
        <is>
          <t>Entrance sconce (LT01) ring/structure; G&amp;B VE suggestion to combine with FFE-ME-07 (same patina family) — not yet decided</t>
        </is>
      </c>
    </row>
    <row r="36">
      <c r="A36" s="14" t="n">
        <v>23</v>
      </c>
      <c r="B36" s="14" t="inlineStr">
        <is>
          <t>FFE-WD-02</t>
        </is>
      </c>
      <c r="C36" s="14" t="inlineStr"/>
      <c r="D36" s="14" t="inlineStr">
        <is>
          <t>Wood</t>
        </is>
      </c>
      <c r="E36" s="15" t="inlineStr">
        <is>
          <t>Chêne teinté fumé brossé</t>
        </is>
      </c>
      <c r="F36" s="15" t="inlineStr">
        <is>
          <t>Smoked tinted brushed oak</t>
        </is>
      </c>
      <c r="G36" s="14" t="inlineStr">
        <is>
          <t>Légèrement satiné</t>
        </is>
      </c>
      <c r="H36" s="14" t="inlineStr">
        <is>
          <t>Single</t>
        </is>
      </c>
      <c r="I36" s="14" t="inlineStr"/>
      <c r="J36" s="14" t="inlineStr"/>
      <c r="K36" s="14" t="inlineStr">
        <is>
          <t>K5M-T1B1-ENT-MR-01</t>
        </is>
      </c>
      <c r="L36" s="14" t="inlineStr">
        <is>
          <t>N</t>
        </is>
      </c>
      <c r="M36" s="14" t="inlineStr">
        <is>
          <t>Y</t>
        </is>
      </c>
      <c r="N36" s="14" t="inlineStr"/>
      <c r="O36" s="14" t="inlineStr"/>
      <c r="P36" s="16" t="inlineStr"/>
      <c r="Q36" s="16" t="inlineStr"/>
      <c r="R36" s="16" t="inlineStr"/>
      <c r="S36" s="16" t="inlineStr"/>
      <c r="T36" s="16" t="inlineStr"/>
      <c r="U36" s="15" t="inlineStr">
        <is>
          <t>Entrance mirror (MR02) frame</t>
        </is>
      </c>
    </row>
    <row r="37">
      <c r="A37" s="14" t="n">
        <v>24</v>
      </c>
      <c r="B37" s="14" t="inlineStr">
        <is>
          <t>FFE-GL-01</t>
        </is>
      </c>
      <c r="C37" s="14" t="inlineStr"/>
      <c r="D37" s="14" t="inlineStr">
        <is>
          <t>Glass</t>
        </is>
      </c>
      <c r="E37" s="15" t="inlineStr">
        <is>
          <t>Miroir extra-clair</t>
        </is>
      </c>
      <c r="F37" s="15" t="inlineStr">
        <is>
          <t>Extra clear mirror</t>
        </is>
      </c>
      <c r="G37" s="14" t="inlineStr">
        <is>
          <t>Extra clair / Extra clear</t>
        </is>
      </c>
      <c r="H37" s="14" t="inlineStr">
        <is>
          <t>Single</t>
        </is>
      </c>
      <c r="I37" s="14" t="inlineStr"/>
      <c r="J37" s="14" t="inlineStr"/>
      <c r="K37" s="14" t="inlineStr">
        <is>
          <t>K5M-T1B1-ENT-MR-01</t>
        </is>
      </c>
      <c r="L37" s="14" t="inlineStr">
        <is>
          <t>N/A</t>
        </is>
      </c>
      <c r="M37" s="14" t="inlineStr">
        <is>
          <t>N/A</t>
        </is>
      </c>
      <c r="N37" s="14" t="inlineStr"/>
      <c r="O37" s="14" t="inlineStr"/>
      <c r="P37" s="16" t="inlineStr"/>
      <c r="Q37" s="16" t="inlineStr"/>
      <c r="R37" s="16" t="inlineStr"/>
      <c r="S37" s="16" t="inlineStr"/>
      <c r="T37" s="16" t="inlineStr"/>
      <c r="U37" s="15" t="inlineStr">
        <is>
          <t>Entrance mirror (MR02) glass — classical extra-clear mirror, reference not required per G&amp;B</t>
        </is>
      </c>
    </row>
    <row r="38">
      <c r="A38" s="14" t="n">
        <v>25</v>
      </c>
      <c r="B38" s="14" t="inlineStr">
        <is>
          <t>FFE-ME-08</t>
        </is>
      </c>
      <c r="C38" s="14" t="inlineStr"/>
      <c r="D38" s="14" t="inlineStr">
        <is>
          <t>Metal</t>
        </is>
      </c>
      <c r="E38" s="15" t="inlineStr">
        <is>
          <t>Bronze patiné noir</t>
        </is>
      </c>
      <c r="F38" s="15" t="inlineStr">
        <is>
          <t>Bronze black patinated</t>
        </is>
      </c>
      <c r="G38" s="14" t="inlineStr"/>
      <c r="H38" s="14" t="inlineStr">
        <is>
          <t>Single</t>
        </is>
      </c>
      <c r="I38" s="14" t="inlineStr"/>
      <c r="J38" s="14" t="inlineStr"/>
      <c r="K38" s="14" t="inlineStr">
        <is>
          <t>K5M-T1B1-SDB-ST-01</t>
        </is>
      </c>
      <c r="L38" s="14" t="inlineStr">
        <is>
          <t>N</t>
        </is>
      </c>
      <c r="M38" s="14" t="inlineStr">
        <is>
          <t>Y</t>
        </is>
      </c>
      <c r="N38" s="14" t="inlineStr"/>
      <c r="O38" s="14" t="inlineStr"/>
      <c r="P38" s="16" t="inlineStr"/>
      <c r="Q38" s="16" t="inlineStr"/>
      <c r="R38" s="16" t="inlineStr"/>
      <c r="S38" s="16" t="inlineStr"/>
      <c r="T38" s="16" t="inlineStr"/>
      <c r="U38" s="15" t="inlineStr">
        <is>
          <t>Bathroom side table (SDB CG02) — all-in this material</t>
        </is>
      </c>
    </row>
    <row r="39">
      <c r="A39" s="14" t="n">
        <v>26</v>
      </c>
      <c r="B39" s="14" t="inlineStr">
        <is>
          <t>FA-11</t>
        </is>
      </c>
      <c r="C39" s="14" t="inlineStr"/>
      <c r="D39" s="14" t="inlineStr">
        <is>
          <t>Fabric</t>
        </is>
      </c>
      <c r="E39" s="15" t="inlineStr">
        <is>
          <t>"Angora grainé" cuir (G&amp;B)</t>
        </is>
      </c>
      <c r="F39" s="15" t="inlineStr">
        <is>
          <t>"Angora grainé" leather (G&amp;B)</t>
        </is>
      </c>
      <c r="G39" s="14" t="inlineStr"/>
      <c r="H39" s="14" t="inlineStr">
        <is>
          <t>Single</t>
        </is>
      </c>
      <c r="I39" s="14" t="inlineStr"/>
      <c r="J39" s="14" t="inlineStr"/>
      <c r="K39" s="14" t="inlineStr">
        <is>
          <t>K5M-T1B1-SDB-PF-01</t>
        </is>
      </c>
      <c r="L39" s="14" t="inlineStr">
        <is>
          <t>N</t>
        </is>
      </c>
      <c r="M39" s="14" t="inlineStr">
        <is>
          <t>N</t>
        </is>
      </c>
      <c r="N39" s="14" t="inlineStr"/>
      <c r="O39" s="14" t="inlineStr"/>
      <c r="P39" s="16" t="inlineStr"/>
      <c r="Q39" s="16" t="inlineStr"/>
      <c r="R39" s="16" t="inlineStr"/>
      <c r="S39" s="16" t="inlineStr"/>
      <c r="T39" s="16" t="inlineStr"/>
      <c r="U39" s="15" t="inlineStr">
        <is>
          <t>Bathroom pouf (SDB SE01) upholstery; G&amp;B in-house material, sourcing status not yet logged</t>
        </is>
      </c>
    </row>
    <row r="40">
      <c r="A40" s="14" t="n">
        <v>27</v>
      </c>
      <c r="B40" s="14" t="inlineStr">
        <is>
          <t>PP-02</t>
        </is>
      </c>
      <c r="C40" s="14" t="inlineStr"/>
      <c r="D40" s="14" t="inlineStr">
        <is>
          <t>Fabric</t>
        </is>
      </c>
      <c r="E40" s="15" t="inlineStr">
        <is>
          <t>Franges torse 120mm 33227-9826 (Houlès)</t>
        </is>
      </c>
      <c r="F40" s="15" t="inlineStr">
        <is>
          <t>Bullion fringe 120mm 33227-9826 (Houlès)</t>
        </is>
      </c>
      <c r="G40" s="14" t="inlineStr"/>
      <c r="H40" s="14" t="inlineStr">
        <is>
          <t>Single</t>
        </is>
      </c>
      <c r="I40" s="14" t="inlineStr"/>
      <c r="J40" s="14" t="inlineStr"/>
      <c r="K40" s="14" t="inlineStr">
        <is>
          <t>K5M-T1B1-SDB-PF-01</t>
        </is>
      </c>
      <c r="L40" s="14" t="inlineStr">
        <is>
          <t>In transit</t>
        </is>
      </c>
      <c r="M40" s="14" t="inlineStr">
        <is>
          <t>Y</t>
        </is>
      </c>
      <c r="N40" s="14" t="inlineStr"/>
      <c r="O40" s="14" t="inlineStr"/>
      <c r="P40" s="16" t="inlineStr"/>
      <c r="Q40" s="16" t="inlineStr"/>
      <c r="R40" s="16" t="inlineStr"/>
      <c r="S40" s="16" t="inlineStr"/>
      <c r="T40" s="16" t="inlineStr"/>
      <c r="U40" s="15" t="inlineStr">
        <is>
          <t>Bathroom pouf fringe trim; sample courier in transit as of 24 Jul, tracking EMX 1000044713333. Image sourced by us directly.</t>
        </is>
      </c>
    </row>
    <row r="42">
      <c r="A42" s="3" t="inlineStr">
        <is>
          <t>EXCLUDED — not used in any K5M FFE product (kept out of the working list; still fully documented in 002_knowledge-bank/materials/T1B1_material_cross_reference.md)</t>
        </is>
      </c>
    </row>
    <row r="43">
      <c r="A43" s="17" t="inlineStr">
        <is>
          <t>FFE-GL-03, FFE-GL-04, FFE-ME-03, FFE-ME-04, FFE-ME-05, FFE-ME-06, FFE-ST-03, FFE-ST-05, FFE-WD-03, FFE-OT-01, FFE-OT-02, FFE-OT-03</t>
        </is>
      </c>
    </row>
  </sheetData>
  <mergeCells count="6">
    <mergeCell ref="A12:U12"/>
    <mergeCell ref="A2:U2"/>
    <mergeCell ref="A43:U43"/>
    <mergeCell ref="A42:U42"/>
    <mergeCell ref="A11:H11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2026-07-27T08:38:03Z</dcterms:created>
  <dcterms:modified xsi:type="dcterms:W3CDTF">2026-07-27T08:38:04Z</dcterms:modified>
</cp:coreProperties>
</file>